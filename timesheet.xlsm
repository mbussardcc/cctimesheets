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2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CCSRV01\Folder Redirection\mitchellb\Documents\GitHub\cctimesheets\"/>
    </mc:Choice>
  </mc:AlternateContent>
  <xr:revisionPtr revIDLastSave="0" documentId="13_ncr:1_{9E670351-E2FF-4754-A327-91457B4F1BFE}" xr6:coauthVersionLast="47" xr6:coauthVersionMax="47" xr10:uidLastSave="{00000000-0000-0000-0000-000000000000}"/>
  <bookViews>
    <workbookView xWindow="-120" yWindow="-120" windowWidth="38640" windowHeight="15840" xr2:uid="{330A8A6B-3EE1-4F2F-8EED-64CEBC178DE6}"/>
  </bookViews>
  <sheets>
    <sheet name="Timesheet" sheetId="37" r:id="rId1"/>
    <sheet name="Timesheet bk" sheetId="38" state="hidden" r:id="rId2"/>
  </sheets>
  <definedNames>
    <definedName name="checkBoxes" localSheetId="1">'Timesheet bk'!$K$4:$M$10,'Timesheet bk'!$K$15,'Timesheet bk'!$L$15,'Timesheet bk'!$M$15,'Timesheet bk'!$M$16,'Timesheet bk'!$L$16,'Timesheet bk'!$K$16,'Timesheet bk'!$K$17,'Timesheet bk'!$L$17,'Timesheet bk'!$M$17,'Timesheet bk'!$M$18,'Timesheet bk'!$L$18,'Timesheet bk'!$K$18,'Timesheet bk'!$K$19,'Timesheet bk'!$L$19,'Timesheet bk'!$M$19,'Timesheet bk'!$M$21,'Timesheet bk'!$M$20,'Timesheet bk'!$L$20,'Timesheet bk'!$L$21,'Timesheet bk'!$K$21,'Timesheet bk'!$K$20</definedName>
    <definedName name="checkBoxes">Timesheet!$L$4:$N$10,Timesheet!$L$15,Timesheet!$M$15,Timesheet!$N$15,Timesheet!$N$16,Timesheet!$M$16,Timesheet!$L$16,Timesheet!$L$17,Timesheet!$M$17,Timesheet!$N$17,Timesheet!$N$18,Timesheet!$M$18,Timesheet!$L$18,Timesheet!$L$19,Timesheet!$M$19,Timesheet!$N$19,Timesheet!$N$21,Timesheet!$N$20,Timesheet!$M$20,Timesheet!$M$21,Timesheet!$L$21,Timesheet!$L$20</definedName>
    <definedName name="DataEntry" localSheetId="0">Timesheet!$C$4:$D$10,Timesheet!$F$4:$G$10,Timesheet!$J$4:$J$10,Timesheet!$J$15:$J$21,Timesheet!$F$15:$G$21,Timesheet!$C$15:$D$21,Timesheet!$I$30,Timesheet!$I$31,Timesheet!$I$32</definedName>
    <definedName name="DataEntry" localSheetId="1">'Timesheet bk'!$C$4:$D$10,'Timesheet bk'!$F$4:$G$10,'Timesheet bk'!$J$4:$J$10,'Timesheet bk'!$J$15:$J$21,'Timesheet bk'!$F$15:$G$21,'Timesheet bk'!$C$15:$D$21,'Timesheet bk'!$I$29,'Timesheet bk'!$I$30,'Timesheet bk'!$I$31</definedName>
    <definedName name="DataEntry">#REF!,#REF!,#REF!,#REF!,#REF!,#REF!</definedName>
    <definedName name="_xlnm.Print_Area" localSheetId="0">Timesheet!$A$1:$N$37</definedName>
    <definedName name="_xlnm.Print_Area" localSheetId="1">'Timesheet bk'!$A$1:$N$38</definedName>
  </definedNames>
  <calcPr calcId="191028"/>
  <customWorkbookViews>
    <customWorkbookView name="default" guid="{9138D90E-F6D1-4641-8124-31F6DA9FC810}" maximized="1" xWindow="-13" yWindow="-13" windowWidth="3226" windowHeight="1826" activeSheetId="7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2" i="37" l="1"/>
  <c r="K11" i="37"/>
  <c r="J22" i="38"/>
  <c r="I21" i="38"/>
  <c r="I20" i="38"/>
  <c r="I19" i="38"/>
  <c r="I18" i="38"/>
  <c r="I17" i="38"/>
  <c r="I16" i="38"/>
  <c r="I15" i="38"/>
  <c r="I22" i="38" s="1"/>
  <c r="J11" i="38"/>
  <c r="I27" i="38" s="1"/>
  <c r="I10" i="38"/>
  <c r="I9" i="38"/>
  <c r="I8" i="38"/>
  <c r="I7" i="38"/>
  <c r="I6" i="38"/>
  <c r="I5" i="38"/>
  <c r="B5" i="38"/>
  <c r="B6" i="38" s="1"/>
  <c r="B7" i="38" s="1"/>
  <c r="B8" i="38" s="1"/>
  <c r="B9" i="38" s="1"/>
  <c r="B10" i="38" s="1"/>
  <c r="B15" i="38" s="1"/>
  <c r="B16" i="38" s="1"/>
  <c r="B17" i="38" s="1"/>
  <c r="B18" i="38" s="1"/>
  <c r="B19" i="38" s="1"/>
  <c r="B20" i="38" s="1"/>
  <c r="B21" i="38" s="1"/>
  <c r="I4" i="38"/>
  <c r="I11" i="38" s="1"/>
  <c r="B4" i="38"/>
  <c r="J22" i="37"/>
  <c r="I21" i="37"/>
  <c r="I20" i="37"/>
  <c r="I19" i="37"/>
  <c r="I18" i="37"/>
  <c r="I17" i="37"/>
  <c r="I16" i="37"/>
  <c r="I15" i="37"/>
  <c r="J11" i="37"/>
  <c r="I27" i="37" s="1"/>
  <c r="I10" i="37"/>
  <c r="I9" i="37"/>
  <c r="I8" i="37"/>
  <c r="I7" i="37"/>
  <c r="I6" i="37"/>
  <c r="I5" i="37"/>
  <c r="I4" i="37"/>
  <c r="B4" i="37"/>
  <c r="B5" i="37" s="1"/>
  <c r="B6" i="37" s="1"/>
  <c r="B7" i="37" s="1"/>
  <c r="B8" i="37" s="1"/>
  <c r="B9" i="37" s="1"/>
  <c r="B10" i="37" s="1"/>
  <c r="B15" i="37" s="1"/>
  <c r="B16" i="37" s="1"/>
  <c r="B17" i="37" s="1"/>
  <c r="B18" i="37" s="1"/>
  <c r="B19" i="37" s="1"/>
  <c r="B20" i="37" s="1"/>
  <c r="B21" i="37" s="1"/>
  <c r="I28" i="37" l="1"/>
  <c r="I13" i="38"/>
  <c r="I28" i="38" s="1"/>
  <c r="I12" i="38"/>
  <c r="I26" i="38" s="1"/>
  <c r="I23" i="38"/>
  <c r="I24" i="38"/>
  <c r="I22" i="37"/>
  <c r="I23" i="37" s="1"/>
  <c r="I11" i="37"/>
  <c r="I12" i="37" s="1"/>
  <c r="I24" i="37" l="1"/>
  <c r="I13" i="37"/>
  <c r="I26" i="37"/>
  <c r="I29" i="37" l="1"/>
</calcChain>
</file>

<file path=xl/sharedStrings.xml><?xml version="1.0" encoding="utf-8"?>
<sst xmlns="http://schemas.openxmlformats.org/spreadsheetml/2006/main" count="90" uniqueCount="36">
  <si>
    <t xml:space="preserve">Name: </t>
  </si>
  <si>
    <t>Timesheet</t>
  </si>
  <si>
    <t>Starting Sunday:</t>
  </si>
  <si>
    <t>Day</t>
  </si>
  <si>
    <t>Date</t>
  </si>
  <si>
    <r>
      <rPr>
        <b/>
        <sz val="9"/>
        <rFont val="Arial"/>
        <family val="2"/>
      </rPr>
      <t>In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</si>
  <si>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r>
      <rPr>
        <b/>
        <sz val="9"/>
        <rFont val="Arial"/>
        <family val="2"/>
      </rPr>
      <t>Out</t>
    </r>
    <r>
      <rPr>
        <b/>
        <sz val="8"/>
        <rFont val="Arial"/>
        <family val="2"/>
      </rPr>
      <t xml:space="preserve">
</t>
    </r>
    <r>
      <rPr>
        <b/>
        <sz val="6"/>
        <color theme="4" tint="-0.249977111117893"/>
        <rFont val="Arial"/>
        <family val="2"/>
      </rPr>
      <t>hh:mm AM/PM</t>
    </r>
  </si>
  <si>
    <t>Lunch</t>
  </si>
  <si>
    <r>
      <t xml:space="preserve">In
</t>
    </r>
    <r>
      <rPr>
        <b/>
        <sz val="6"/>
        <color theme="4" tint="-0.249977111117893"/>
        <rFont val="Arial"/>
        <family val="2"/>
      </rPr>
      <t>hh:mm AM/PM</t>
    </r>
  </si>
  <si>
    <r>
      <t xml:space="preserve">Out
</t>
    </r>
    <r>
      <rPr>
        <b/>
        <sz val="6"/>
        <color theme="4" tint="-0.249977111117893"/>
        <rFont val="Arial"/>
        <family val="2"/>
      </rPr>
      <t>hh:mm AM/PM</t>
    </r>
  </si>
  <si>
    <t>Hours</t>
  </si>
  <si>
    <t>Housecall</t>
  </si>
  <si>
    <t>Sick</t>
  </si>
  <si>
    <t>Vacation</t>
  </si>
  <si>
    <t>Holiday</t>
  </si>
  <si>
    <t>Sunday</t>
  </si>
  <si>
    <t>Monday</t>
  </si>
  <si>
    <t>Tuesday</t>
  </si>
  <si>
    <t>Wednesday</t>
  </si>
  <si>
    <t>Thursday</t>
  </si>
  <si>
    <t>Friday</t>
  </si>
  <si>
    <t>Saturday</t>
  </si>
  <si>
    <t>Subtotal</t>
  </si>
  <si>
    <t>Regular Hours</t>
  </si>
  <si>
    <t>Overtime</t>
  </si>
  <si>
    <t>Total Reg Hours</t>
  </si>
  <si>
    <t>Total Housecall</t>
  </si>
  <si>
    <t>Total Overtime</t>
  </si>
  <si>
    <t>Total Sick</t>
  </si>
  <si>
    <t>Total Vacation</t>
  </si>
  <si>
    <t>Total Holiday</t>
  </si>
  <si>
    <t>Employee signature</t>
  </si>
  <si>
    <t>v3.8.1</t>
  </si>
  <si>
    <r>
      <t xml:space="preserve">Remote
</t>
    </r>
    <r>
      <rPr>
        <b/>
        <sz val="7"/>
        <color rgb="FF305496"/>
        <rFont val="Arial"/>
        <family val="2"/>
      </rPr>
      <t>(MSP)</t>
    </r>
  </si>
  <si>
    <t>Total Remote</t>
  </si>
  <si>
    <t>v3.9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</si>
</sst>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$-409]h:mm\ AM/PM;@"/>
    <numFmt numFmtId="165" formatCode="m/d/yy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rgb="FFBCBCBC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color rgb="FF808080"/>
      <name val="Arial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b/>
      <sz val="6"/>
      <color theme="4" tint="-0.249977111117893"/>
      <name val="Arial"/>
      <family val="2"/>
    </font>
    <font>
      <b/>
      <sz val="8"/>
      <color theme="1"/>
      <name val="Arial"/>
      <family val="2"/>
    </font>
    <font>
      <b/>
      <sz val="7"/>
      <color rgb="FF305496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EFC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4506668294322"/>
        <bgColor indexed="64"/>
      </patternFill>
    </fill>
  </fills>
  <borders count="37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0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0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0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rgb="FF80808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rgb="FF808080"/>
      </bottom>
      <diagonal/>
    </border>
    <border>
      <left/>
      <right style="thin">
        <color theme="0"/>
      </right>
      <top style="thin">
        <color theme="0"/>
      </top>
      <bottom style="thin">
        <color rgb="FF808080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 style="thin">
        <color rgb="FFBCBCBC"/>
      </left>
      <right/>
      <top/>
      <bottom/>
      <diagonal/>
    </border>
    <border>
      <left style="thin">
        <color rgb="FFBCBCBC"/>
      </left>
      <right/>
      <top style="thin">
        <color rgb="FFBCBCBC"/>
      </top>
      <bottom style="thin">
        <color rgb="FFBCBCBC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rgb="FFBCBCBC"/>
      </bottom>
      <diagonal/>
    </border>
    <border>
      <left/>
      <right style="thin">
        <color rgb="FFBCBCBC"/>
      </right>
      <top style="thin">
        <color rgb="FFBCBCBC"/>
      </top>
      <bottom style="thin">
        <color rgb="FFBCBCBC"/>
      </bottom>
      <diagonal/>
    </border>
    <border>
      <left/>
      <right style="thin">
        <color rgb="FFBCBCBC"/>
      </right>
      <top/>
      <bottom style="thin">
        <color theme="2" tint="-0.249977111117893"/>
      </bottom>
      <diagonal/>
    </border>
    <border>
      <left style="thin">
        <color rgb="FFBCBCBC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rgb="FFBCBCBC"/>
      </top>
      <bottom style="thin">
        <color rgb="FFBCBCBC"/>
      </bottom>
      <diagonal/>
    </border>
    <border>
      <left/>
      <right/>
      <top style="thin">
        <color rgb="FFBCBCBC"/>
      </top>
      <bottom/>
      <diagonal/>
    </border>
    <border>
      <left style="thin">
        <color theme="6" tint="0.39997558519241921"/>
      </left>
      <right/>
      <top/>
      <bottom/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2" tint="-9.9978637043366805E-2"/>
      </left>
      <right style="thin">
        <color theme="6" tint="0.39997558519241921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rgb="FFBCBCBC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rgb="FF80808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BCBCBC"/>
      </left>
      <right style="thin">
        <color rgb="FFBCBCBC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9.9978637043366805E-2"/>
      </left>
      <right style="thin">
        <color theme="6" tint="0.39997558519241921"/>
      </right>
      <top/>
      <bottom/>
      <diagonal/>
    </border>
    <border>
      <left/>
      <right style="thin">
        <color rgb="FFBCBCBC"/>
      </right>
      <top/>
      <bottom/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</cellStyleXfs>
  <cellXfs count="93">
    <xf numFmtId="0" fontId="0" fillId="0" borderId="0" xfId="0"/>
    <xf numFmtId="0" fontId="5" fillId="0" borderId="0" xfId="0" applyFont="1"/>
    <xf numFmtId="0" fontId="5" fillId="0" borderId="7" xfId="0" applyFont="1" applyBorder="1"/>
    <xf numFmtId="0" fontId="5" fillId="0" borderId="11" xfId="0" applyFont="1" applyBorder="1"/>
    <xf numFmtId="0" fontId="5" fillId="0" borderId="8" xfId="0" applyFont="1" applyBorder="1"/>
    <xf numFmtId="0" fontId="5" fillId="0" borderId="14" xfId="0" applyFont="1" applyBorder="1"/>
    <xf numFmtId="165" fontId="10" fillId="0" borderId="15" xfId="0" applyNumberFormat="1" applyFont="1" applyBorder="1" applyAlignment="1">
      <alignment horizontal="left"/>
    </xf>
    <xf numFmtId="0" fontId="8" fillId="5" borderId="0" xfId="3" applyFont="1" applyFill="1" applyAlignment="1">
      <alignment horizontal="center" vertical="center"/>
    </xf>
    <xf numFmtId="0" fontId="8" fillId="5" borderId="0" xfId="3" applyFont="1" applyFill="1" applyAlignment="1">
      <alignment horizontal="center" vertical="center" wrapText="1"/>
    </xf>
    <xf numFmtId="0" fontId="8" fillId="5" borderId="0" xfId="1" applyFont="1" applyFill="1" applyAlignment="1">
      <alignment horizontal="center" vertical="center"/>
    </xf>
    <xf numFmtId="0" fontId="12" fillId="5" borderId="0" xfId="3" applyFont="1" applyFill="1" applyAlignment="1">
      <alignment horizontal="center" vertical="center" wrapText="1"/>
    </xf>
    <xf numFmtId="0" fontId="13" fillId="5" borderId="0" xfId="2" applyFont="1" applyFill="1" applyBorder="1"/>
    <xf numFmtId="0" fontId="13" fillId="5" borderId="0" xfId="2" applyFont="1" applyFill="1" applyBorder="1" applyProtection="1"/>
    <xf numFmtId="2" fontId="13" fillId="7" borderId="1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5" fillId="0" borderId="9" xfId="0" applyFont="1" applyBorder="1"/>
    <xf numFmtId="0" fontId="13" fillId="7" borderId="1" xfId="2" applyNumberFormat="1" applyFont="1" applyFill="1" applyBorder="1" applyAlignment="1">
      <alignment vertical="center"/>
    </xf>
    <xf numFmtId="0" fontId="13" fillId="8" borderId="1" xfId="2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2" fontId="8" fillId="5" borderId="10" xfId="1" applyNumberFormat="1" applyFont="1" applyFill="1" applyBorder="1"/>
    <xf numFmtId="2" fontId="8" fillId="5" borderId="2" xfId="1" applyNumberFormat="1" applyFont="1" applyFill="1" applyBorder="1"/>
    <xf numFmtId="0" fontId="13" fillId="8" borderId="6" xfId="2" applyNumberFormat="1" applyFont="1" applyFill="1" applyBorder="1" applyAlignment="1">
      <alignment vertical="center"/>
    </xf>
    <xf numFmtId="2" fontId="8" fillId="5" borderId="10" xfId="1" applyNumberFormat="1" applyFont="1" applyFill="1" applyBorder="1" applyAlignment="1">
      <alignment vertical="center"/>
    </xf>
    <xf numFmtId="2" fontId="8" fillId="5" borderId="2" xfId="1" applyNumberFormat="1" applyFont="1" applyFill="1" applyBorder="1" applyAlignment="1">
      <alignment vertical="center"/>
    </xf>
    <xf numFmtId="0" fontId="5" fillId="0" borderId="18" xfId="0" applyFont="1" applyBorder="1"/>
    <xf numFmtId="0" fontId="9" fillId="5" borderId="21" xfId="2" applyNumberFormat="1" applyFont="1" applyFill="1" applyBorder="1" applyAlignment="1">
      <alignment horizontal="left" vertical="center"/>
    </xf>
    <xf numFmtId="0" fontId="9" fillId="5" borderId="5" xfId="2" applyNumberFormat="1" applyFont="1" applyFill="1" applyBorder="1" applyAlignment="1">
      <alignment horizontal="left" vertical="center"/>
    </xf>
    <xf numFmtId="0" fontId="8" fillId="5" borderId="22" xfId="3" applyFont="1" applyFill="1" applyBorder="1" applyAlignment="1">
      <alignment horizontal="center" vertical="center" wrapText="1"/>
    </xf>
    <xf numFmtId="0" fontId="8" fillId="5" borderId="23" xfId="1" applyFont="1" applyFill="1" applyBorder="1" applyAlignment="1">
      <alignment horizontal="center" vertical="center"/>
    </xf>
    <xf numFmtId="2" fontId="8" fillId="5" borderId="25" xfId="1" applyNumberFormat="1" applyFont="1" applyFill="1" applyBorder="1"/>
    <xf numFmtId="2" fontId="8" fillId="5" borderId="25" xfId="1" applyNumberFormat="1" applyFont="1" applyFill="1" applyBorder="1" applyAlignment="1">
      <alignment vertical="center"/>
    </xf>
    <xf numFmtId="164" fontId="13" fillId="8" borderId="4" xfId="2" applyNumberFormat="1" applyFont="1" applyFill="1" applyBorder="1" applyAlignment="1" applyProtection="1">
      <alignment vertical="center"/>
      <protection locked="0"/>
    </xf>
    <xf numFmtId="164" fontId="13" fillId="7" borderId="5" xfId="2" applyNumberFormat="1" applyFont="1" applyFill="1" applyBorder="1" applyAlignment="1" applyProtection="1">
      <alignment vertical="center"/>
      <protection locked="0"/>
    </xf>
    <xf numFmtId="164" fontId="13" fillId="7" borderId="1" xfId="2" applyNumberFormat="1" applyFont="1" applyFill="1" applyBorder="1" applyAlignment="1" applyProtection="1">
      <alignment vertical="center"/>
      <protection locked="0"/>
    </xf>
    <xf numFmtId="2" fontId="13" fillId="8" borderId="1" xfId="2" applyNumberFormat="1" applyFont="1" applyFill="1" applyBorder="1" applyAlignment="1" applyProtection="1">
      <alignment vertical="center"/>
      <protection locked="0"/>
    </xf>
    <xf numFmtId="2" fontId="13" fillId="7" borderId="5" xfId="2" applyNumberFormat="1" applyFont="1" applyFill="1" applyBorder="1" applyAlignment="1" applyProtection="1">
      <alignment vertical="center"/>
      <protection hidden="1"/>
    </xf>
    <xf numFmtId="2" fontId="8" fillId="5" borderId="5" xfId="1" applyNumberFormat="1" applyFont="1" applyFill="1" applyBorder="1" applyProtection="1">
      <protection hidden="1"/>
    </xf>
    <xf numFmtId="2" fontId="13" fillId="7" borderId="20" xfId="2" applyNumberFormat="1" applyFont="1" applyFill="1" applyBorder="1" applyProtection="1">
      <protection hidden="1"/>
    </xf>
    <xf numFmtId="2" fontId="13" fillId="7" borderId="24" xfId="0" applyNumberFormat="1" applyFont="1" applyFill="1" applyBorder="1" applyProtection="1">
      <protection hidden="1"/>
    </xf>
    <xf numFmtId="2" fontId="8" fillId="5" borderId="1" xfId="1" applyNumberFormat="1" applyFont="1" applyFill="1" applyBorder="1" applyProtection="1">
      <protection hidden="1"/>
    </xf>
    <xf numFmtId="2" fontId="13" fillId="7" borderId="5" xfId="2" applyNumberFormat="1" applyFont="1" applyFill="1" applyBorder="1" applyAlignment="1" applyProtection="1">
      <alignment horizontal="right" vertical="center"/>
      <protection hidden="1"/>
    </xf>
    <xf numFmtId="2" fontId="8" fillId="5" borderId="1" xfId="1" applyNumberFormat="1" applyFont="1" applyFill="1" applyBorder="1" applyAlignment="1" applyProtection="1">
      <alignment horizontal="right" vertical="center"/>
      <protection hidden="1"/>
    </xf>
    <xf numFmtId="2" fontId="13" fillId="7" borderId="17" xfId="2" applyNumberFormat="1" applyFont="1" applyFill="1" applyBorder="1" applyAlignment="1" applyProtection="1">
      <alignment horizontal="right" vertical="center"/>
      <protection hidden="1"/>
    </xf>
    <xf numFmtId="2" fontId="13" fillId="7" borderId="19" xfId="0" applyNumberFormat="1" applyFont="1" applyFill="1" applyBorder="1" applyAlignment="1" applyProtection="1">
      <alignment horizontal="right" vertical="center"/>
      <protection hidden="1"/>
    </xf>
    <xf numFmtId="2" fontId="8" fillId="5" borderId="1" xfId="1" applyNumberFormat="1" applyFont="1" applyFill="1" applyBorder="1" applyAlignment="1" applyProtection="1">
      <alignment vertical="center"/>
      <protection hidden="1"/>
    </xf>
    <xf numFmtId="14" fontId="4" fillId="6" borderId="1" xfId="2" applyNumberFormat="1" applyFont="1" applyFill="1" applyBorder="1" applyAlignment="1" applyProtection="1">
      <alignment horizontal="center" vertical="center"/>
      <protection hidden="1"/>
    </xf>
    <xf numFmtId="14" fontId="4" fillId="6" borderId="5" xfId="2" applyNumberFormat="1" applyFont="1" applyFill="1" applyBorder="1" applyAlignment="1" applyProtection="1">
      <alignment horizontal="center" vertical="center"/>
      <protection hidden="1"/>
    </xf>
    <xf numFmtId="0" fontId="5" fillId="0" borderId="26" xfId="0" applyFont="1" applyBorder="1"/>
    <xf numFmtId="0" fontId="5" fillId="0" borderId="25" xfId="0" applyFont="1" applyBorder="1"/>
    <xf numFmtId="2" fontId="13" fillId="7" borderId="27" xfId="0" applyNumberFormat="1" applyFont="1" applyFill="1" applyBorder="1" applyAlignment="1" applyProtection="1">
      <alignment horizontal="right" vertical="center"/>
      <protection hidden="1"/>
    </xf>
    <xf numFmtId="44" fontId="13" fillId="7" borderId="28" xfId="0" applyNumberFormat="1" applyFont="1" applyFill="1" applyBorder="1" applyAlignment="1" applyProtection="1">
      <alignment horizontal="right" vertical="center"/>
      <protection hidden="1"/>
    </xf>
    <xf numFmtId="2" fontId="13" fillId="7" borderId="29" xfId="0" applyNumberFormat="1" applyFont="1" applyFill="1" applyBorder="1" applyAlignment="1" applyProtection="1">
      <alignment horizontal="right" vertical="center"/>
      <protection hidden="1"/>
    </xf>
    <xf numFmtId="0" fontId="5" fillId="0" borderId="30" xfId="0" applyFont="1" applyBorder="1"/>
    <xf numFmtId="14" fontId="0" fillId="0" borderId="0" xfId="0" applyNumberFormat="1"/>
    <xf numFmtId="2" fontId="13" fillId="7" borderId="34" xfId="0" applyNumberFormat="1" applyFont="1" applyFill="1" applyBorder="1" applyAlignment="1" applyProtection="1">
      <alignment horizontal="right" vertical="center"/>
      <protection locked="0" hidden="1"/>
    </xf>
    <xf numFmtId="2" fontId="13" fillId="7" borderId="31" xfId="0" applyNumberFormat="1" applyFont="1" applyFill="1" applyBorder="1" applyProtection="1">
      <protection locked="0" hidden="1"/>
    </xf>
    <xf numFmtId="0" fontId="11" fillId="0" borderId="13" xfId="0" applyFont="1" applyBorder="1" applyAlignment="1">
      <alignment horizontal="left" vertical="center"/>
    </xf>
    <xf numFmtId="0" fontId="13" fillId="0" borderId="0" xfId="0" applyFont="1"/>
    <xf numFmtId="0" fontId="11" fillId="0" borderId="13" xfId="0" applyFont="1" applyBorder="1" applyAlignment="1">
      <alignment horizontal="left" vertical="center"/>
    </xf>
    <xf numFmtId="0" fontId="0" fillId="0" borderId="0" xfId="0" applyNumberFormat="1" applyProtection="1">
      <protection hidden="1"/>
    </xf>
    <xf numFmtId="0" fontId="11" fillId="0" borderId="13" xfId="0" applyFont="1" applyBorder="1" applyAlignment="1">
      <alignment horizontal="left" vertical="center"/>
    </xf>
    <xf numFmtId="0" fontId="11" fillId="0" borderId="32" xfId="0" applyFont="1" applyBorder="1" applyAlignment="1">
      <alignment horizontal="left" vertical="center"/>
    </xf>
    <xf numFmtId="0" fontId="15" fillId="5" borderId="0" xfId="0" applyFont="1" applyFill="1" applyAlignment="1">
      <alignment horizontal="right" vertical="center"/>
    </xf>
    <xf numFmtId="0" fontId="15" fillId="5" borderId="12" xfId="0" applyFont="1" applyFill="1" applyBorder="1" applyAlignment="1">
      <alignment horizontal="right" vertical="center"/>
    </xf>
    <xf numFmtId="0" fontId="13" fillId="0" borderId="14" xfId="0" applyFont="1" applyBorder="1" applyAlignment="1">
      <alignment horizontal="right" vertical="center"/>
    </xf>
    <xf numFmtId="0" fontId="13" fillId="0" borderId="33" xfId="0" applyFont="1" applyBorder="1" applyAlignment="1">
      <alignment horizontal="right" vertical="center"/>
    </xf>
    <xf numFmtId="0" fontId="10" fillId="0" borderId="15" xfId="0" applyFont="1" applyBorder="1" applyAlignment="1">
      <alignment horizontal="left"/>
    </xf>
    <xf numFmtId="0" fontId="10" fillId="0" borderId="16" xfId="0" applyFont="1" applyBorder="1" applyAlignment="1">
      <alignment horizontal="left"/>
    </xf>
    <xf numFmtId="0" fontId="3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4" fontId="6" fillId="0" borderId="0" xfId="0" applyNumberFormat="1" applyFont="1" applyAlignment="1" applyProtection="1">
      <alignment horizontal="left" vertical="center"/>
      <protection locked="0"/>
    </xf>
    <xf numFmtId="0" fontId="12" fillId="5" borderId="0" xfId="1" applyFont="1" applyFill="1" applyBorder="1" applyAlignment="1">
      <alignment horizontal="right" vertical="center"/>
    </xf>
    <xf numFmtId="0" fontId="12" fillId="5" borderId="3" xfId="1" applyFont="1" applyFill="1" applyBorder="1" applyAlignment="1">
      <alignment horizontal="right" vertical="center"/>
    </xf>
    <xf numFmtId="0" fontId="15" fillId="5" borderId="3" xfId="0" applyFont="1" applyFill="1" applyBorder="1" applyAlignment="1">
      <alignment horizontal="right" vertical="center"/>
    </xf>
    <xf numFmtId="0" fontId="9" fillId="9" borderId="0" xfId="0" applyFont="1" applyFill="1" applyAlignment="1">
      <alignment horizontal="center" vertical="center" wrapText="1"/>
    </xf>
    <xf numFmtId="2" fontId="13" fillId="8" borderId="1" xfId="2" applyNumberFormat="1" applyFont="1" applyFill="1" applyBorder="1" applyAlignment="1">
      <alignment vertical="center"/>
    </xf>
    <xf numFmtId="0" fontId="13" fillId="7" borderId="6" xfId="2" applyNumberFormat="1" applyFont="1" applyFill="1" applyBorder="1" applyAlignment="1">
      <alignment vertical="center"/>
    </xf>
    <xf numFmtId="2" fontId="8" fillId="5" borderId="5" xfId="1" applyNumberFormat="1" applyFont="1" applyFill="1" applyBorder="1" applyAlignment="1" applyProtection="1">
      <alignment horizontal="right" vertical="center"/>
      <protection hidden="1"/>
    </xf>
    <xf numFmtId="2" fontId="13" fillId="7" borderId="20" xfId="2" applyNumberFormat="1" applyFont="1" applyFill="1" applyBorder="1" applyAlignment="1" applyProtection="1">
      <alignment horizontal="right" vertical="center"/>
      <protection hidden="1"/>
    </xf>
    <xf numFmtId="2" fontId="13" fillId="7" borderId="24" xfId="0" applyNumberFormat="1" applyFont="1" applyFill="1" applyBorder="1" applyAlignment="1" applyProtection="1">
      <alignment horizontal="right" vertical="center"/>
      <protection hidden="1"/>
    </xf>
    <xf numFmtId="2" fontId="13" fillId="8" borderId="1" xfId="2" applyNumberFormat="1" applyFont="1" applyFill="1" applyBorder="1" applyAlignment="1" applyProtection="1">
      <alignment horizontal="right" vertical="center"/>
      <protection locked="0"/>
    </xf>
    <xf numFmtId="0" fontId="13" fillId="7" borderId="1" xfId="0" applyFont="1" applyFill="1" applyBorder="1" applyAlignment="1">
      <alignment horizontal="right"/>
    </xf>
    <xf numFmtId="0" fontId="13" fillId="7" borderId="1" xfId="0" applyFont="1" applyFill="1" applyBorder="1" applyAlignment="1" applyProtection="1">
      <alignment horizontal="right" vertical="center"/>
    </xf>
    <xf numFmtId="2" fontId="13" fillId="7" borderId="31" xfId="0" applyNumberFormat="1" applyFont="1" applyFill="1" applyBorder="1" applyAlignment="1" applyProtection="1">
      <alignment horizontal="right" vertical="center"/>
      <protection locked="0" hidden="1"/>
    </xf>
    <xf numFmtId="164" fontId="13" fillId="7" borderId="5" xfId="2" applyNumberFormat="1" applyFont="1" applyFill="1" applyBorder="1" applyAlignment="1" applyProtection="1">
      <alignment horizontal="right" vertical="center"/>
      <protection locked="0"/>
    </xf>
    <xf numFmtId="164" fontId="13" fillId="8" borderId="4" xfId="2" applyNumberFormat="1" applyFont="1" applyFill="1" applyBorder="1" applyAlignment="1" applyProtection="1">
      <alignment horizontal="right" vertical="center"/>
      <protection locked="0"/>
    </xf>
    <xf numFmtId="164" fontId="13" fillId="7" borderId="1" xfId="2" applyNumberFormat="1" applyFont="1" applyFill="1" applyBorder="1" applyAlignment="1" applyProtection="1">
      <alignment horizontal="right" vertical="center"/>
      <protection locked="0"/>
    </xf>
    <xf numFmtId="2" fontId="13" fillId="7" borderId="35" xfId="0" applyNumberFormat="1" applyFont="1" applyFill="1" applyBorder="1" applyAlignment="1" applyProtection="1">
      <alignment horizontal="right" vertical="center"/>
      <protection hidden="1"/>
    </xf>
    <xf numFmtId="44" fontId="13" fillId="7" borderId="21" xfId="0" applyNumberFormat="1" applyFont="1" applyFill="1" applyBorder="1" applyAlignment="1" applyProtection="1">
      <alignment horizontal="right" vertical="center"/>
      <protection hidden="1"/>
    </xf>
    <xf numFmtId="0" fontId="15" fillId="5" borderId="0" xfId="0" applyFont="1" applyFill="1" applyBorder="1" applyAlignment="1">
      <alignment horizontal="right" vertical="center"/>
    </xf>
    <xf numFmtId="0" fontId="15" fillId="5" borderId="36" xfId="0" applyFont="1" applyFill="1" applyBorder="1" applyAlignment="1">
      <alignment horizontal="right" vertical="center"/>
    </xf>
    <xf numFmtId="2" fontId="9" fillId="9" borderId="1" xfId="0" applyNumberFormat="1" applyFont="1" applyFill="1" applyBorder="1" applyAlignment="1" applyProtection="1">
      <alignment horizontal="right" vertical="center"/>
      <protection hidden="1"/>
    </xf>
  </cellXfs>
  <cellStyles count="4">
    <cellStyle name="20% - Accent1" xfId="2" builtinId="30"/>
    <cellStyle name="Accent1" xfId="1" builtinId="29"/>
    <cellStyle name="Accent3" xfId="3" builtinId="37"/>
    <cellStyle name="Normal" xfId="0" builtinId="0"/>
  </cellStyles>
  <dxfs count="0"/>
  <tableStyles count="0" defaultTableStyle="TableStyleMedium2" defaultPivotStyle="PivotStyleLight16"/>
  <colors>
    <mruColors>
      <color rgb="FFBCBCBC"/>
      <color rgb="FF305496"/>
      <color rgb="FFFEF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180975</xdr:rowOff>
        </xdr:from>
        <xdr:to>
          <xdr:col>16</xdr:col>
          <xdr:colOff>514350</xdr:colOff>
          <xdr:row>2</xdr:row>
          <xdr:rowOff>285750</xdr:rowOff>
        </xdr:to>
        <xdr:sp macro="" textlink="">
          <xdr:nvSpPr>
            <xdr:cNvPr id="31745" name="CopyNClear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219075</xdr:colOff>
          <xdr:row>3</xdr:row>
          <xdr:rowOff>28575</xdr:rowOff>
        </xdr:from>
        <xdr:to>
          <xdr:col>13</xdr:col>
          <xdr:colOff>371475</xdr:colOff>
          <xdr:row>4</xdr:row>
          <xdr:rowOff>9525</xdr:rowOff>
        </xdr:to>
        <xdr:sp macro="" textlink="">
          <xdr:nvSpPr>
            <xdr:cNvPr id="31746" name="Check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0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223489</xdr:colOff>
          <xdr:row>4</xdr:row>
          <xdr:rowOff>24161</xdr:rowOff>
        </xdr:from>
        <xdr:to>
          <xdr:col>13</xdr:col>
          <xdr:colOff>375889</xdr:colOff>
          <xdr:row>5</xdr:row>
          <xdr:rowOff>5111</xdr:rowOff>
        </xdr:to>
        <xdr:sp macro="" textlink="">
          <xdr:nvSpPr>
            <xdr:cNvPr id="31747" name="CheckBox2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0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224651</xdr:colOff>
          <xdr:row>5</xdr:row>
          <xdr:rowOff>19050</xdr:rowOff>
        </xdr:from>
        <xdr:to>
          <xdr:col>13</xdr:col>
          <xdr:colOff>377051</xdr:colOff>
          <xdr:row>6</xdr:row>
          <xdr:rowOff>0</xdr:rowOff>
        </xdr:to>
        <xdr:sp macro="" textlink="">
          <xdr:nvSpPr>
            <xdr:cNvPr id="31748" name="CheckBox3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0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224651</xdr:colOff>
          <xdr:row>6</xdr:row>
          <xdr:rowOff>28575</xdr:rowOff>
        </xdr:from>
        <xdr:to>
          <xdr:col>13</xdr:col>
          <xdr:colOff>377051</xdr:colOff>
          <xdr:row>7</xdr:row>
          <xdr:rowOff>9525</xdr:rowOff>
        </xdr:to>
        <xdr:sp macro="" textlink="">
          <xdr:nvSpPr>
            <xdr:cNvPr id="31749" name="CheckBox4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224651</xdr:colOff>
          <xdr:row>7</xdr:row>
          <xdr:rowOff>19050</xdr:rowOff>
        </xdr:from>
        <xdr:to>
          <xdr:col>13</xdr:col>
          <xdr:colOff>377051</xdr:colOff>
          <xdr:row>8</xdr:row>
          <xdr:rowOff>0</xdr:rowOff>
        </xdr:to>
        <xdr:sp macro="" textlink="">
          <xdr:nvSpPr>
            <xdr:cNvPr id="31750" name="CheckBox5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0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224651</xdr:colOff>
          <xdr:row>8</xdr:row>
          <xdr:rowOff>28575</xdr:rowOff>
        </xdr:from>
        <xdr:to>
          <xdr:col>13</xdr:col>
          <xdr:colOff>377051</xdr:colOff>
          <xdr:row>9</xdr:row>
          <xdr:rowOff>9525</xdr:rowOff>
        </xdr:to>
        <xdr:sp macro="" textlink="">
          <xdr:nvSpPr>
            <xdr:cNvPr id="31751" name="CheckBox6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0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220237</xdr:colOff>
          <xdr:row>9</xdr:row>
          <xdr:rowOff>28575</xdr:rowOff>
        </xdr:from>
        <xdr:to>
          <xdr:col>13</xdr:col>
          <xdr:colOff>372637</xdr:colOff>
          <xdr:row>10</xdr:row>
          <xdr:rowOff>9525</xdr:rowOff>
        </xdr:to>
        <xdr:sp macro="" textlink="">
          <xdr:nvSpPr>
            <xdr:cNvPr id="31752" name="CheckBox7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0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3</xdr:row>
          <xdr:rowOff>19050</xdr:rowOff>
        </xdr:from>
        <xdr:to>
          <xdr:col>11</xdr:col>
          <xdr:colOff>419100</xdr:colOff>
          <xdr:row>4</xdr:row>
          <xdr:rowOff>0</xdr:rowOff>
        </xdr:to>
        <xdr:sp macro="" textlink="">
          <xdr:nvSpPr>
            <xdr:cNvPr id="31753" name="CheckBox8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0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4</xdr:row>
          <xdr:rowOff>28575</xdr:rowOff>
        </xdr:from>
        <xdr:to>
          <xdr:col>11</xdr:col>
          <xdr:colOff>419100</xdr:colOff>
          <xdr:row>5</xdr:row>
          <xdr:rowOff>9525</xdr:rowOff>
        </xdr:to>
        <xdr:sp macro="" textlink="">
          <xdr:nvSpPr>
            <xdr:cNvPr id="31754" name="CheckBox9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0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5</xdr:row>
          <xdr:rowOff>19050</xdr:rowOff>
        </xdr:from>
        <xdr:to>
          <xdr:col>11</xdr:col>
          <xdr:colOff>419100</xdr:colOff>
          <xdr:row>6</xdr:row>
          <xdr:rowOff>0</xdr:rowOff>
        </xdr:to>
        <xdr:sp macro="" textlink="">
          <xdr:nvSpPr>
            <xdr:cNvPr id="31755" name="CheckBox10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0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6</xdr:row>
          <xdr:rowOff>28575</xdr:rowOff>
        </xdr:from>
        <xdr:to>
          <xdr:col>11</xdr:col>
          <xdr:colOff>419100</xdr:colOff>
          <xdr:row>7</xdr:row>
          <xdr:rowOff>9525</xdr:rowOff>
        </xdr:to>
        <xdr:sp macro="" textlink="">
          <xdr:nvSpPr>
            <xdr:cNvPr id="31756" name="CheckBox11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00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7</xdr:row>
          <xdr:rowOff>28575</xdr:rowOff>
        </xdr:from>
        <xdr:to>
          <xdr:col>11</xdr:col>
          <xdr:colOff>419100</xdr:colOff>
          <xdr:row>8</xdr:row>
          <xdr:rowOff>9525</xdr:rowOff>
        </xdr:to>
        <xdr:sp macro="" textlink="">
          <xdr:nvSpPr>
            <xdr:cNvPr id="31757" name="CheckBox12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00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8</xdr:row>
          <xdr:rowOff>28575</xdr:rowOff>
        </xdr:from>
        <xdr:to>
          <xdr:col>11</xdr:col>
          <xdr:colOff>419100</xdr:colOff>
          <xdr:row>9</xdr:row>
          <xdr:rowOff>9525</xdr:rowOff>
        </xdr:to>
        <xdr:sp macro="" textlink="">
          <xdr:nvSpPr>
            <xdr:cNvPr id="31758" name="CheckBox13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00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9</xdr:row>
          <xdr:rowOff>19050</xdr:rowOff>
        </xdr:from>
        <xdr:to>
          <xdr:col>11</xdr:col>
          <xdr:colOff>409575</xdr:colOff>
          <xdr:row>10</xdr:row>
          <xdr:rowOff>0</xdr:rowOff>
        </xdr:to>
        <xdr:sp macro="" textlink="">
          <xdr:nvSpPr>
            <xdr:cNvPr id="31759" name="CheckBox14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00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251831</xdr:colOff>
          <xdr:row>3</xdr:row>
          <xdr:rowOff>19050</xdr:rowOff>
        </xdr:from>
        <xdr:to>
          <xdr:col>12</xdr:col>
          <xdr:colOff>404231</xdr:colOff>
          <xdr:row>4</xdr:row>
          <xdr:rowOff>0</xdr:rowOff>
        </xdr:to>
        <xdr:sp macro="" textlink="">
          <xdr:nvSpPr>
            <xdr:cNvPr id="31760" name="CheckBox15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00000000-0008-0000-0000-00001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251831</xdr:colOff>
          <xdr:row>4</xdr:row>
          <xdr:rowOff>28575</xdr:rowOff>
        </xdr:from>
        <xdr:to>
          <xdr:col>12</xdr:col>
          <xdr:colOff>404231</xdr:colOff>
          <xdr:row>5</xdr:row>
          <xdr:rowOff>9525</xdr:rowOff>
        </xdr:to>
        <xdr:sp macro="" textlink="">
          <xdr:nvSpPr>
            <xdr:cNvPr id="31761" name="CheckBox16" hidden="1">
              <a:extLst>
                <a:ext uri="{63B3BB69-23CF-44E3-9099-C40C66FF867C}">
                  <a14:compatExt spid="_x0000_s31761"/>
                </a:ext>
                <a:ext uri="{FF2B5EF4-FFF2-40B4-BE49-F238E27FC236}">
                  <a16:creationId xmlns:a16="http://schemas.microsoft.com/office/drawing/2014/main" id="{00000000-0008-0000-0000-00001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251831</xdr:colOff>
          <xdr:row>5</xdr:row>
          <xdr:rowOff>19050</xdr:rowOff>
        </xdr:from>
        <xdr:to>
          <xdr:col>12</xdr:col>
          <xdr:colOff>404231</xdr:colOff>
          <xdr:row>6</xdr:row>
          <xdr:rowOff>0</xdr:rowOff>
        </xdr:to>
        <xdr:sp macro="" textlink="">
          <xdr:nvSpPr>
            <xdr:cNvPr id="31762" name="CheckBox17" hidden="1">
              <a:extLst>
                <a:ext uri="{63B3BB69-23CF-44E3-9099-C40C66FF867C}">
                  <a14:compatExt spid="_x0000_s31762"/>
                </a:ext>
                <a:ext uri="{FF2B5EF4-FFF2-40B4-BE49-F238E27FC236}">
                  <a16:creationId xmlns:a16="http://schemas.microsoft.com/office/drawing/2014/main" id="{00000000-0008-0000-0000-00001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251831</xdr:colOff>
          <xdr:row>6</xdr:row>
          <xdr:rowOff>28575</xdr:rowOff>
        </xdr:from>
        <xdr:to>
          <xdr:col>12</xdr:col>
          <xdr:colOff>404231</xdr:colOff>
          <xdr:row>7</xdr:row>
          <xdr:rowOff>9525</xdr:rowOff>
        </xdr:to>
        <xdr:sp macro="" textlink="">
          <xdr:nvSpPr>
            <xdr:cNvPr id="31763" name="CheckBox18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00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251831</xdr:colOff>
          <xdr:row>7</xdr:row>
          <xdr:rowOff>28575</xdr:rowOff>
        </xdr:from>
        <xdr:to>
          <xdr:col>12</xdr:col>
          <xdr:colOff>404231</xdr:colOff>
          <xdr:row>8</xdr:row>
          <xdr:rowOff>9525</xdr:rowOff>
        </xdr:to>
        <xdr:sp macro="" textlink="">
          <xdr:nvSpPr>
            <xdr:cNvPr id="31764" name="CheckBox19" hidden="1">
              <a:extLst>
                <a:ext uri="{63B3BB69-23CF-44E3-9099-C40C66FF867C}">
                  <a14:compatExt spid="_x0000_s31764"/>
                </a:ext>
                <a:ext uri="{FF2B5EF4-FFF2-40B4-BE49-F238E27FC236}">
                  <a16:creationId xmlns:a16="http://schemas.microsoft.com/office/drawing/2014/main" id="{00000000-0008-0000-0000-00001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251831</xdr:colOff>
          <xdr:row>8</xdr:row>
          <xdr:rowOff>28575</xdr:rowOff>
        </xdr:from>
        <xdr:to>
          <xdr:col>12</xdr:col>
          <xdr:colOff>404231</xdr:colOff>
          <xdr:row>9</xdr:row>
          <xdr:rowOff>9525</xdr:rowOff>
        </xdr:to>
        <xdr:sp macro="" textlink="">
          <xdr:nvSpPr>
            <xdr:cNvPr id="31765" name="CheckBox20" hidden="1">
              <a:extLst>
                <a:ext uri="{63B3BB69-23CF-44E3-9099-C40C66FF867C}">
                  <a14:compatExt spid="_x0000_s31765"/>
                </a:ext>
                <a:ext uri="{FF2B5EF4-FFF2-40B4-BE49-F238E27FC236}">
                  <a16:creationId xmlns:a16="http://schemas.microsoft.com/office/drawing/2014/main" id="{00000000-0008-0000-0000-00001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251831</xdr:colOff>
          <xdr:row>9</xdr:row>
          <xdr:rowOff>28575</xdr:rowOff>
        </xdr:from>
        <xdr:to>
          <xdr:col>12</xdr:col>
          <xdr:colOff>404231</xdr:colOff>
          <xdr:row>10</xdr:row>
          <xdr:rowOff>9525</xdr:rowOff>
        </xdr:to>
        <xdr:sp macro="" textlink="">
          <xdr:nvSpPr>
            <xdr:cNvPr id="31766" name="CheckBox21" hidden="1">
              <a:extLst>
                <a:ext uri="{63B3BB69-23CF-44E3-9099-C40C66FF867C}">
                  <a14:compatExt spid="_x0000_s31766"/>
                </a:ext>
                <a:ext uri="{FF2B5EF4-FFF2-40B4-BE49-F238E27FC236}">
                  <a16:creationId xmlns:a16="http://schemas.microsoft.com/office/drawing/2014/main" id="{00000000-0008-0000-0000-00001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14</xdr:row>
          <xdr:rowOff>19050</xdr:rowOff>
        </xdr:from>
        <xdr:to>
          <xdr:col>12</xdr:col>
          <xdr:colOff>409575</xdr:colOff>
          <xdr:row>15</xdr:row>
          <xdr:rowOff>0</xdr:rowOff>
        </xdr:to>
        <xdr:sp macro="" textlink="">
          <xdr:nvSpPr>
            <xdr:cNvPr id="31767" name="CheckBox22" hidden="1">
              <a:extLst>
                <a:ext uri="{63B3BB69-23CF-44E3-9099-C40C66FF867C}">
                  <a14:compatExt spid="_x0000_s31767"/>
                </a:ext>
                <a:ext uri="{FF2B5EF4-FFF2-40B4-BE49-F238E27FC236}">
                  <a16:creationId xmlns:a16="http://schemas.microsoft.com/office/drawing/2014/main" id="{00000000-0008-0000-0000-00001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15</xdr:row>
          <xdr:rowOff>28575</xdr:rowOff>
        </xdr:from>
        <xdr:to>
          <xdr:col>12</xdr:col>
          <xdr:colOff>409575</xdr:colOff>
          <xdr:row>16</xdr:row>
          <xdr:rowOff>9525</xdr:rowOff>
        </xdr:to>
        <xdr:sp macro="" textlink="">
          <xdr:nvSpPr>
            <xdr:cNvPr id="31768" name="CheckBox23" hidden="1">
              <a:extLst>
                <a:ext uri="{63B3BB69-23CF-44E3-9099-C40C66FF867C}">
                  <a14:compatExt spid="_x0000_s31768"/>
                </a:ext>
                <a:ext uri="{FF2B5EF4-FFF2-40B4-BE49-F238E27FC236}">
                  <a16:creationId xmlns:a16="http://schemas.microsoft.com/office/drawing/2014/main" id="{00000000-0008-0000-0000-00001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16</xdr:row>
          <xdr:rowOff>19050</xdr:rowOff>
        </xdr:from>
        <xdr:to>
          <xdr:col>12</xdr:col>
          <xdr:colOff>409575</xdr:colOff>
          <xdr:row>17</xdr:row>
          <xdr:rowOff>0</xdr:rowOff>
        </xdr:to>
        <xdr:sp macro="" textlink="">
          <xdr:nvSpPr>
            <xdr:cNvPr id="31769" name="CheckBox24" hidden="1">
              <a:extLst>
                <a:ext uri="{63B3BB69-23CF-44E3-9099-C40C66FF867C}">
                  <a14:compatExt spid="_x0000_s31769"/>
                </a:ext>
                <a:ext uri="{FF2B5EF4-FFF2-40B4-BE49-F238E27FC236}">
                  <a16:creationId xmlns:a16="http://schemas.microsoft.com/office/drawing/2014/main" id="{00000000-0008-0000-0000-00001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17</xdr:row>
          <xdr:rowOff>28575</xdr:rowOff>
        </xdr:from>
        <xdr:to>
          <xdr:col>12</xdr:col>
          <xdr:colOff>409575</xdr:colOff>
          <xdr:row>18</xdr:row>
          <xdr:rowOff>9525</xdr:rowOff>
        </xdr:to>
        <xdr:sp macro="" textlink="">
          <xdr:nvSpPr>
            <xdr:cNvPr id="31770" name="CheckBox25" hidden="1">
              <a:extLst>
                <a:ext uri="{63B3BB69-23CF-44E3-9099-C40C66FF867C}">
                  <a14:compatExt spid="_x0000_s31770"/>
                </a:ext>
                <a:ext uri="{FF2B5EF4-FFF2-40B4-BE49-F238E27FC236}">
                  <a16:creationId xmlns:a16="http://schemas.microsoft.com/office/drawing/2014/main" id="{00000000-0008-0000-0000-00001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18</xdr:row>
          <xdr:rowOff>28575</xdr:rowOff>
        </xdr:from>
        <xdr:to>
          <xdr:col>12</xdr:col>
          <xdr:colOff>409575</xdr:colOff>
          <xdr:row>19</xdr:row>
          <xdr:rowOff>9525</xdr:rowOff>
        </xdr:to>
        <xdr:sp macro="" textlink="">
          <xdr:nvSpPr>
            <xdr:cNvPr id="31771" name="CheckBox26" hidden="1">
              <a:extLst>
                <a:ext uri="{63B3BB69-23CF-44E3-9099-C40C66FF867C}">
                  <a14:compatExt spid="_x0000_s31771"/>
                </a:ext>
                <a:ext uri="{FF2B5EF4-FFF2-40B4-BE49-F238E27FC236}">
                  <a16:creationId xmlns:a16="http://schemas.microsoft.com/office/drawing/2014/main" id="{00000000-0008-0000-0000-00001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19</xdr:row>
          <xdr:rowOff>28575</xdr:rowOff>
        </xdr:from>
        <xdr:to>
          <xdr:col>12</xdr:col>
          <xdr:colOff>409575</xdr:colOff>
          <xdr:row>20</xdr:row>
          <xdr:rowOff>9525</xdr:rowOff>
        </xdr:to>
        <xdr:sp macro="" textlink="">
          <xdr:nvSpPr>
            <xdr:cNvPr id="31772" name="CheckBox27" hidden="1">
              <a:extLst>
                <a:ext uri="{63B3BB69-23CF-44E3-9099-C40C66FF867C}">
                  <a14:compatExt spid="_x0000_s31772"/>
                </a:ext>
                <a:ext uri="{FF2B5EF4-FFF2-40B4-BE49-F238E27FC236}">
                  <a16:creationId xmlns:a16="http://schemas.microsoft.com/office/drawing/2014/main" id="{00000000-0008-0000-0000-00001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20</xdr:row>
          <xdr:rowOff>28575</xdr:rowOff>
        </xdr:from>
        <xdr:to>
          <xdr:col>12</xdr:col>
          <xdr:colOff>409575</xdr:colOff>
          <xdr:row>21</xdr:row>
          <xdr:rowOff>9525</xdr:rowOff>
        </xdr:to>
        <xdr:sp macro="" textlink="">
          <xdr:nvSpPr>
            <xdr:cNvPr id="31773" name="CheckBox28" hidden="1">
              <a:extLst>
                <a:ext uri="{63B3BB69-23CF-44E3-9099-C40C66FF867C}">
                  <a14:compatExt spid="_x0000_s31773"/>
                </a:ext>
                <a:ext uri="{FF2B5EF4-FFF2-40B4-BE49-F238E27FC236}">
                  <a16:creationId xmlns:a16="http://schemas.microsoft.com/office/drawing/2014/main" id="{00000000-0008-0000-0000-00001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14</xdr:row>
          <xdr:rowOff>19050</xdr:rowOff>
        </xdr:from>
        <xdr:to>
          <xdr:col>11</xdr:col>
          <xdr:colOff>409575</xdr:colOff>
          <xdr:row>15</xdr:row>
          <xdr:rowOff>0</xdr:rowOff>
        </xdr:to>
        <xdr:sp macro="" textlink="">
          <xdr:nvSpPr>
            <xdr:cNvPr id="31774" name="CheckBox29" hidden="1">
              <a:extLst>
                <a:ext uri="{63B3BB69-23CF-44E3-9099-C40C66FF867C}">
                  <a14:compatExt spid="_x0000_s31774"/>
                </a:ext>
                <a:ext uri="{FF2B5EF4-FFF2-40B4-BE49-F238E27FC236}">
                  <a16:creationId xmlns:a16="http://schemas.microsoft.com/office/drawing/2014/main" id="{00000000-0008-0000-0000-00001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15</xdr:row>
          <xdr:rowOff>28575</xdr:rowOff>
        </xdr:from>
        <xdr:to>
          <xdr:col>11</xdr:col>
          <xdr:colOff>409575</xdr:colOff>
          <xdr:row>16</xdr:row>
          <xdr:rowOff>9525</xdr:rowOff>
        </xdr:to>
        <xdr:sp macro="" textlink="">
          <xdr:nvSpPr>
            <xdr:cNvPr id="31775" name="CheckBox30" hidden="1">
              <a:extLst>
                <a:ext uri="{63B3BB69-23CF-44E3-9099-C40C66FF867C}">
                  <a14:compatExt spid="_x0000_s31775"/>
                </a:ext>
                <a:ext uri="{FF2B5EF4-FFF2-40B4-BE49-F238E27FC236}">
                  <a16:creationId xmlns:a16="http://schemas.microsoft.com/office/drawing/2014/main" id="{00000000-0008-0000-0000-00001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16</xdr:row>
          <xdr:rowOff>19050</xdr:rowOff>
        </xdr:from>
        <xdr:to>
          <xdr:col>11</xdr:col>
          <xdr:colOff>409575</xdr:colOff>
          <xdr:row>17</xdr:row>
          <xdr:rowOff>0</xdr:rowOff>
        </xdr:to>
        <xdr:sp macro="" textlink="">
          <xdr:nvSpPr>
            <xdr:cNvPr id="31776" name="CheckBox31" hidden="1">
              <a:extLst>
                <a:ext uri="{63B3BB69-23CF-44E3-9099-C40C66FF867C}">
                  <a14:compatExt spid="_x0000_s31776"/>
                </a:ext>
                <a:ext uri="{FF2B5EF4-FFF2-40B4-BE49-F238E27FC236}">
                  <a16:creationId xmlns:a16="http://schemas.microsoft.com/office/drawing/2014/main" id="{00000000-0008-0000-0000-00002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17</xdr:row>
          <xdr:rowOff>28575</xdr:rowOff>
        </xdr:from>
        <xdr:to>
          <xdr:col>11</xdr:col>
          <xdr:colOff>409575</xdr:colOff>
          <xdr:row>18</xdr:row>
          <xdr:rowOff>9525</xdr:rowOff>
        </xdr:to>
        <xdr:sp macro="" textlink="">
          <xdr:nvSpPr>
            <xdr:cNvPr id="31777" name="CheckBox32" hidden="1">
              <a:extLst>
                <a:ext uri="{63B3BB69-23CF-44E3-9099-C40C66FF867C}">
                  <a14:compatExt spid="_x0000_s31777"/>
                </a:ext>
                <a:ext uri="{FF2B5EF4-FFF2-40B4-BE49-F238E27FC236}">
                  <a16:creationId xmlns:a16="http://schemas.microsoft.com/office/drawing/2014/main" id="{00000000-0008-0000-0000-00002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18</xdr:row>
          <xdr:rowOff>28575</xdr:rowOff>
        </xdr:from>
        <xdr:to>
          <xdr:col>11</xdr:col>
          <xdr:colOff>409575</xdr:colOff>
          <xdr:row>19</xdr:row>
          <xdr:rowOff>9525</xdr:rowOff>
        </xdr:to>
        <xdr:sp macro="" textlink="">
          <xdr:nvSpPr>
            <xdr:cNvPr id="31778" name="CheckBox33" hidden="1">
              <a:extLst>
                <a:ext uri="{63B3BB69-23CF-44E3-9099-C40C66FF867C}">
                  <a14:compatExt spid="_x0000_s31778"/>
                </a:ext>
                <a:ext uri="{FF2B5EF4-FFF2-40B4-BE49-F238E27FC236}">
                  <a16:creationId xmlns:a16="http://schemas.microsoft.com/office/drawing/2014/main" id="{00000000-0008-0000-0000-00002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19</xdr:row>
          <xdr:rowOff>28575</xdr:rowOff>
        </xdr:from>
        <xdr:to>
          <xdr:col>11</xdr:col>
          <xdr:colOff>419100</xdr:colOff>
          <xdr:row>20</xdr:row>
          <xdr:rowOff>9525</xdr:rowOff>
        </xdr:to>
        <xdr:sp macro="" textlink="">
          <xdr:nvSpPr>
            <xdr:cNvPr id="31779" name="CheckBox34" hidden="1">
              <a:extLst>
                <a:ext uri="{63B3BB69-23CF-44E3-9099-C40C66FF867C}">
                  <a14:compatExt spid="_x0000_s31779"/>
                </a:ext>
                <a:ext uri="{FF2B5EF4-FFF2-40B4-BE49-F238E27FC236}">
                  <a16:creationId xmlns:a16="http://schemas.microsoft.com/office/drawing/2014/main" id="{00000000-0008-0000-0000-00002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20</xdr:row>
          <xdr:rowOff>28575</xdr:rowOff>
        </xdr:from>
        <xdr:to>
          <xdr:col>11</xdr:col>
          <xdr:colOff>419100</xdr:colOff>
          <xdr:row>21</xdr:row>
          <xdr:rowOff>9525</xdr:rowOff>
        </xdr:to>
        <xdr:sp macro="" textlink="">
          <xdr:nvSpPr>
            <xdr:cNvPr id="31780" name="CheckBox35" hidden="1">
              <a:extLst>
                <a:ext uri="{63B3BB69-23CF-44E3-9099-C40C66FF867C}">
                  <a14:compatExt spid="_x0000_s31780"/>
                </a:ext>
                <a:ext uri="{FF2B5EF4-FFF2-40B4-BE49-F238E27FC236}">
                  <a16:creationId xmlns:a16="http://schemas.microsoft.com/office/drawing/2014/main" id="{00000000-0008-0000-0000-00002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229530</xdr:colOff>
          <xdr:row>14</xdr:row>
          <xdr:rowOff>23697</xdr:rowOff>
        </xdr:from>
        <xdr:to>
          <xdr:col>13</xdr:col>
          <xdr:colOff>381930</xdr:colOff>
          <xdr:row>15</xdr:row>
          <xdr:rowOff>4647</xdr:rowOff>
        </xdr:to>
        <xdr:sp macro="" textlink="">
          <xdr:nvSpPr>
            <xdr:cNvPr id="31781" name="CheckBox36" hidden="1">
              <a:extLst>
                <a:ext uri="{63B3BB69-23CF-44E3-9099-C40C66FF867C}">
                  <a14:compatExt spid="_x0000_s31781"/>
                </a:ext>
                <a:ext uri="{FF2B5EF4-FFF2-40B4-BE49-F238E27FC236}">
                  <a16:creationId xmlns:a16="http://schemas.microsoft.com/office/drawing/2014/main" id="{00000000-0008-0000-0000-00002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229529</xdr:colOff>
          <xdr:row>15</xdr:row>
          <xdr:rowOff>28575</xdr:rowOff>
        </xdr:from>
        <xdr:to>
          <xdr:col>13</xdr:col>
          <xdr:colOff>381929</xdr:colOff>
          <xdr:row>16</xdr:row>
          <xdr:rowOff>9525</xdr:rowOff>
        </xdr:to>
        <xdr:sp macro="" textlink="">
          <xdr:nvSpPr>
            <xdr:cNvPr id="31782" name="CheckBox37" hidden="1">
              <a:extLst>
                <a:ext uri="{63B3BB69-23CF-44E3-9099-C40C66FF867C}">
                  <a14:compatExt spid="_x0000_s31782"/>
                </a:ext>
                <a:ext uri="{FF2B5EF4-FFF2-40B4-BE49-F238E27FC236}">
                  <a16:creationId xmlns:a16="http://schemas.microsoft.com/office/drawing/2014/main" id="{00000000-0008-0000-0000-00002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229529</xdr:colOff>
          <xdr:row>16</xdr:row>
          <xdr:rowOff>19050</xdr:rowOff>
        </xdr:from>
        <xdr:to>
          <xdr:col>13</xdr:col>
          <xdr:colOff>381929</xdr:colOff>
          <xdr:row>17</xdr:row>
          <xdr:rowOff>0</xdr:rowOff>
        </xdr:to>
        <xdr:sp macro="" textlink="">
          <xdr:nvSpPr>
            <xdr:cNvPr id="31783" name="CheckBox38" hidden="1">
              <a:extLst>
                <a:ext uri="{63B3BB69-23CF-44E3-9099-C40C66FF867C}">
                  <a14:compatExt spid="_x0000_s31783"/>
                </a:ext>
                <a:ext uri="{FF2B5EF4-FFF2-40B4-BE49-F238E27FC236}">
                  <a16:creationId xmlns:a16="http://schemas.microsoft.com/office/drawing/2014/main" id="{00000000-0008-0000-0000-00002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229529</xdr:colOff>
          <xdr:row>17</xdr:row>
          <xdr:rowOff>28575</xdr:rowOff>
        </xdr:from>
        <xdr:to>
          <xdr:col>13</xdr:col>
          <xdr:colOff>381929</xdr:colOff>
          <xdr:row>18</xdr:row>
          <xdr:rowOff>9525</xdr:rowOff>
        </xdr:to>
        <xdr:sp macro="" textlink="">
          <xdr:nvSpPr>
            <xdr:cNvPr id="31784" name="CheckBox39" hidden="1">
              <a:extLst>
                <a:ext uri="{63B3BB69-23CF-44E3-9099-C40C66FF867C}">
                  <a14:compatExt spid="_x0000_s31784"/>
                </a:ext>
                <a:ext uri="{FF2B5EF4-FFF2-40B4-BE49-F238E27FC236}">
                  <a16:creationId xmlns:a16="http://schemas.microsoft.com/office/drawing/2014/main" id="{00000000-0008-0000-0000-00002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229529</xdr:colOff>
          <xdr:row>18</xdr:row>
          <xdr:rowOff>19050</xdr:rowOff>
        </xdr:from>
        <xdr:to>
          <xdr:col>13</xdr:col>
          <xdr:colOff>381929</xdr:colOff>
          <xdr:row>19</xdr:row>
          <xdr:rowOff>0</xdr:rowOff>
        </xdr:to>
        <xdr:sp macro="" textlink="">
          <xdr:nvSpPr>
            <xdr:cNvPr id="31785" name="CheckBox40" hidden="1">
              <a:extLst>
                <a:ext uri="{63B3BB69-23CF-44E3-9099-C40C66FF867C}">
                  <a14:compatExt spid="_x0000_s31785"/>
                </a:ext>
                <a:ext uri="{FF2B5EF4-FFF2-40B4-BE49-F238E27FC236}">
                  <a16:creationId xmlns:a16="http://schemas.microsoft.com/office/drawing/2014/main" id="{00000000-0008-0000-0000-00002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229529</xdr:colOff>
          <xdr:row>19</xdr:row>
          <xdr:rowOff>28575</xdr:rowOff>
        </xdr:from>
        <xdr:to>
          <xdr:col>13</xdr:col>
          <xdr:colOff>381929</xdr:colOff>
          <xdr:row>20</xdr:row>
          <xdr:rowOff>9525</xdr:rowOff>
        </xdr:to>
        <xdr:sp macro="" textlink="">
          <xdr:nvSpPr>
            <xdr:cNvPr id="31786" name="CheckBox41" hidden="1">
              <a:extLst>
                <a:ext uri="{63B3BB69-23CF-44E3-9099-C40C66FF867C}">
                  <a14:compatExt spid="_x0000_s31786"/>
                </a:ext>
                <a:ext uri="{FF2B5EF4-FFF2-40B4-BE49-F238E27FC236}">
                  <a16:creationId xmlns:a16="http://schemas.microsoft.com/office/drawing/2014/main" id="{00000000-0008-0000-0000-00002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229529</xdr:colOff>
          <xdr:row>20</xdr:row>
          <xdr:rowOff>28575</xdr:rowOff>
        </xdr:from>
        <xdr:to>
          <xdr:col>13</xdr:col>
          <xdr:colOff>381929</xdr:colOff>
          <xdr:row>21</xdr:row>
          <xdr:rowOff>9525</xdr:rowOff>
        </xdr:to>
        <xdr:sp macro="" textlink="">
          <xdr:nvSpPr>
            <xdr:cNvPr id="31787" name="CheckBox42" hidden="1">
              <a:extLst>
                <a:ext uri="{63B3BB69-23CF-44E3-9099-C40C66FF867C}">
                  <a14:compatExt spid="_x0000_s31787"/>
                </a:ext>
                <a:ext uri="{FF2B5EF4-FFF2-40B4-BE49-F238E27FC236}">
                  <a16:creationId xmlns:a16="http://schemas.microsoft.com/office/drawing/2014/main" id="{00000000-0008-0000-0000-00002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180975</xdr:rowOff>
        </xdr:from>
        <xdr:to>
          <xdr:col>16</xdr:col>
          <xdr:colOff>514350</xdr:colOff>
          <xdr:row>2</xdr:row>
          <xdr:rowOff>285750</xdr:rowOff>
        </xdr:to>
        <xdr:sp macro="" textlink="">
          <xdr:nvSpPr>
            <xdr:cNvPr id="32769" name="CopyNClearButton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3A426767-59DD-4BA6-8138-E3CFC804FA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3</xdr:row>
          <xdr:rowOff>19050</xdr:rowOff>
        </xdr:from>
        <xdr:to>
          <xdr:col>10</xdr:col>
          <xdr:colOff>409575</xdr:colOff>
          <xdr:row>4</xdr:row>
          <xdr:rowOff>0</xdr:rowOff>
        </xdr:to>
        <xdr:sp macro="" textlink="">
          <xdr:nvSpPr>
            <xdr:cNvPr id="32770" name="CheckBox1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7A8CCFF9-88BE-4609-B14C-E179B97754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4</xdr:row>
          <xdr:rowOff>28575</xdr:rowOff>
        </xdr:from>
        <xdr:to>
          <xdr:col>10</xdr:col>
          <xdr:colOff>409575</xdr:colOff>
          <xdr:row>5</xdr:row>
          <xdr:rowOff>9525</xdr:rowOff>
        </xdr:to>
        <xdr:sp macro="" textlink="">
          <xdr:nvSpPr>
            <xdr:cNvPr id="32771" name="CheckBox2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7C0D9D92-5B24-4D5A-9522-CE74E3298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5</xdr:row>
          <xdr:rowOff>19050</xdr:rowOff>
        </xdr:from>
        <xdr:to>
          <xdr:col>10</xdr:col>
          <xdr:colOff>409575</xdr:colOff>
          <xdr:row>6</xdr:row>
          <xdr:rowOff>0</xdr:rowOff>
        </xdr:to>
        <xdr:sp macro="" textlink="">
          <xdr:nvSpPr>
            <xdr:cNvPr id="32772" name="CheckBox3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9ACB4727-A999-49C7-BC44-FA075E6E6E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6</xdr:row>
          <xdr:rowOff>28575</xdr:rowOff>
        </xdr:from>
        <xdr:to>
          <xdr:col>10</xdr:col>
          <xdr:colOff>409575</xdr:colOff>
          <xdr:row>7</xdr:row>
          <xdr:rowOff>9525</xdr:rowOff>
        </xdr:to>
        <xdr:sp macro="" textlink="">
          <xdr:nvSpPr>
            <xdr:cNvPr id="32773" name="CheckBox4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69E5DC4A-0910-4828-BF6F-163D8F306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7</xdr:row>
          <xdr:rowOff>19050</xdr:rowOff>
        </xdr:from>
        <xdr:to>
          <xdr:col>10</xdr:col>
          <xdr:colOff>409575</xdr:colOff>
          <xdr:row>8</xdr:row>
          <xdr:rowOff>0</xdr:rowOff>
        </xdr:to>
        <xdr:sp macro="" textlink="">
          <xdr:nvSpPr>
            <xdr:cNvPr id="32774" name="CheckBox5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33CC3E68-8E07-4122-A162-5CE4ACD4A7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257175</xdr:colOff>
          <xdr:row>8</xdr:row>
          <xdr:rowOff>28575</xdr:rowOff>
        </xdr:from>
        <xdr:to>
          <xdr:col>10</xdr:col>
          <xdr:colOff>409575</xdr:colOff>
          <xdr:row>9</xdr:row>
          <xdr:rowOff>9525</xdr:rowOff>
        </xdr:to>
        <xdr:sp macro="" textlink="">
          <xdr:nvSpPr>
            <xdr:cNvPr id="32775" name="CheckBox6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850816FF-DE18-420C-8194-3D9893B091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9</xdr:row>
          <xdr:rowOff>28575</xdr:rowOff>
        </xdr:from>
        <xdr:to>
          <xdr:col>10</xdr:col>
          <xdr:colOff>419100</xdr:colOff>
          <xdr:row>10</xdr:row>
          <xdr:rowOff>9525</xdr:rowOff>
        </xdr:to>
        <xdr:sp macro="" textlink="">
          <xdr:nvSpPr>
            <xdr:cNvPr id="32776" name="CheckBox7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98E0E43-D637-44DA-B262-CE28C73AE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3</xdr:row>
          <xdr:rowOff>19050</xdr:rowOff>
        </xdr:from>
        <xdr:to>
          <xdr:col>11</xdr:col>
          <xdr:colOff>419100</xdr:colOff>
          <xdr:row>4</xdr:row>
          <xdr:rowOff>0</xdr:rowOff>
        </xdr:to>
        <xdr:sp macro="" textlink="">
          <xdr:nvSpPr>
            <xdr:cNvPr id="32777" name="CheckBox8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793AA30-922A-4CC8-BF1D-9487E05852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4</xdr:row>
          <xdr:rowOff>28575</xdr:rowOff>
        </xdr:from>
        <xdr:to>
          <xdr:col>11</xdr:col>
          <xdr:colOff>419100</xdr:colOff>
          <xdr:row>5</xdr:row>
          <xdr:rowOff>9525</xdr:rowOff>
        </xdr:to>
        <xdr:sp macro="" textlink="">
          <xdr:nvSpPr>
            <xdr:cNvPr id="32778" name="CheckBox9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F019F906-067A-4A23-BD30-BEAE522DE3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5</xdr:row>
          <xdr:rowOff>19050</xdr:rowOff>
        </xdr:from>
        <xdr:to>
          <xdr:col>11</xdr:col>
          <xdr:colOff>419100</xdr:colOff>
          <xdr:row>6</xdr:row>
          <xdr:rowOff>0</xdr:rowOff>
        </xdr:to>
        <xdr:sp macro="" textlink="">
          <xdr:nvSpPr>
            <xdr:cNvPr id="32779" name="CheckBox10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4F23AE4-582B-422B-B501-E35582D9F8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6</xdr:row>
          <xdr:rowOff>28575</xdr:rowOff>
        </xdr:from>
        <xdr:to>
          <xdr:col>11</xdr:col>
          <xdr:colOff>419100</xdr:colOff>
          <xdr:row>7</xdr:row>
          <xdr:rowOff>9525</xdr:rowOff>
        </xdr:to>
        <xdr:sp macro="" textlink="">
          <xdr:nvSpPr>
            <xdr:cNvPr id="32780" name="CheckBox11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65DF3877-EC7C-4640-8E29-363120141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7</xdr:row>
          <xdr:rowOff>28575</xdr:rowOff>
        </xdr:from>
        <xdr:to>
          <xdr:col>11</xdr:col>
          <xdr:colOff>419100</xdr:colOff>
          <xdr:row>8</xdr:row>
          <xdr:rowOff>9525</xdr:rowOff>
        </xdr:to>
        <xdr:sp macro="" textlink="">
          <xdr:nvSpPr>
            <xdr:cNvPr id="32781" name="CheckBox12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658BC7BE-D0AE-4EB1-A15C-D884FB9B5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8</xdr:row>
          <xdr:rowOff>28575</xdr:rowOff>
        </xdr:from>
        <xdr:to>
          <xdr:col>11</xdr:col>
          <xdr:colOff>419100</xdr:colOff>
          <xdr:row>9</xdr:row>
          <xdr:rowOff>9525</xdr:rowOff>
        </xdr:to>
        <xdr:sp macro="" textlink="">
          <xdr:nvSpPr>
            <xdr:cNvPr id="32782" name="CheckBox13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53FA9FF1-547B-4053-A763-E1D0D14E61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9</xdr:row>
          <xdr:rowOff>19050</xdr:rowOff>
        </xdr:from>
        <xdr:to>
          <xdr:col>11</xdr:col>
          <xdr:colOff>409575</xdr:colOff>
          <xdr:row>10</xdr:row>
          <xdr:rowOff>0</xdr:rowOff>
        </xdr:to>
        <xdr:sp macro="" textlink="">
          <xdr:nvSpPr>
            <xdr:cNvPr id="32783" name="CheckBox14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FF76A27-FEAD-4DC7-A927-044D6024D2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3</xdr:row>
          <xdr:rowOff>19050</xdr:rowOff>
        </xdr:from>
        <xdr:to>
          <xdr:col>12</xdr:col>
          <xdr:colOff>381000</xdr:colOff>
          <xdr:row>4</xdr:row>
          <xdr:rowOff>0</xdr:rowOff>
        </xdr:to>
        <xdr:sp macro="" textlink="">
          <xdr:nvSpPr>
            <xdr:cNvPr id="32784" name="CheckBox15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556528CC-222F-430F-9820-840789D792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4</xdr:row>
          <xdr:rowOff>28575</xdr:rowOff>
        </xdr:from>
        <xdr:to>
          <xdr:col>12</xdr:col>
          <xdr:colOff>381000</xdr:colOff>
          <xdr:row>5</xdr:row>
          <xdr:rowOff>9525</xdr:rowOff>
        </xdr:to>
        <xdr:sp macro="" textlink="">
          <xdr:nvSpPr>
            <xdr:cNvPr id="32785" name="CheckBox16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356CC190-C4E7-42B8-8895-1E4891C7DD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5</xdr:row>
          <xdr:rowOff>19050</xdr:rowOff>
        </xdr:from>
        <xdr:to>
          <xdr:col>12</xdr:col>
          <xdr:colOff>381000</xdr:colOff>
          <xdr:row>6</xdr:row>
          <xdr:rowOff>0</xdr:rowOff>
        </xdr:to>
        <xdr:sp macro="" textlink="">
          <xdr:nvSpPr>
            <xdr:cNvPr id="32786" name="CheckBox17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509F1533-21DD-466F-A978-E071D230CD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6</xdr:row>
          <xdr:rowOff>28575</xdr:rowOff>
        </xdr:from>
        <xdr:to>
          <xdr:col>12</xdr:col>
          <xdr:colOff>381000</xdr:colOff>
          <xdr:row>7</xdr:row>
          <xdr:rowOff>9525</xdr:rowOff>
        </xdr:to>
        <xdr:sp macro="" textlink="">
          <xdr:nvSpPr>
            <xdr:cNvPr id="32787" name="CheckBox18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5272D69A-82DA-4463-92FC-C2C8AD3F0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7</xdr:row>
          <xdr:rowOff>28575</xdr:rowOff>
        </xdr:from>
        <xdr:to>
          <xdr:col>12</xdr:col>
          <xdr:colOff>381000</xdr:colOff>
          <xdr:row>8</xdr:row>
          <xdr:rowOff>9525</xdr:rowOff>
        </xdr:to>
        <xdr:sp macro="" textlink="">
          <xdr:nvSpPr>
            <xdr:cNvPr id="32788" name="CheckBox19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D5663757-7027-4045-9F97-59660DCF9C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8</xdr:row>
          <xdr:rowOff>28575</xdr:rowOff>
        </xdr:from>
        <xdr:to>
          <xdr:col>12</xdr:col>
          <xdr:colOff>381000</xdr:colOff>
          <xdr:row>9</xdr:row>
          <xdr:rowOff>9525</xdr:rowOff>
        </xdr:to>
        <xdr:sp macro="" textlink="">
          <xdr:nvSpPr>
            <xdr:cNvPr id="32789" name="CheckBox20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C48C5E25-14A3-4D85-AEF5-E4B9EF1AE5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228600</xdr:colOff>
          <xdr:row>9</xdr:row>
          <xdr:rowOff>28575</xdr:rowOff>
        </xdr:from>
        <xdr:to>
          <xdr:col>12</xdr:col>
          <xdr:colOff>381000</xdr:colOff>
          <xdr:row>10</xdr:row>
          <xdr:rowOff>9525</xdr:rowOff>
        </xdr:to>
        <xdr:sp macro="" textlink="">
          <xdr:nvSpPr>
            <xdr:cNvPr id="32790" name="CheckBox21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125A7DCE-CAEE-4CBC-966A-726BE0629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14</xdr:row>
          <xdr:rowOff>19050</xdr:rowOff>
        </xdr:from>
        <xdr:to>
          <xdr:col>12</xdr:col>
          <xdr:colOff>409575</xdr:colOff>
          <xdr:row>15</xdr:row>
          <xdr:rowOff>0</xdr:rowOff>
        </xdr:to>
        <xdr:sp macro="" textlink="">
          <xdr:nvSpPr>
            <xdr:cNvPr id="32791" name="CheckBox22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F3CDA63A-2BB4-4EC9-9A1A-A8EC708C8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15</xdr:row>
          <xdr:rowOff>28575</xdr:rowOff>
        </xdr:from>
        <xdr:to>
          <xdr:col>12</xdr:col>
          <xdr:colOff>409575</xdr:colOff>
          <xdr:row>16</xdr:row>
          <xdr:rowOff>9525</xdr:rowOff>
        </xdr:to>
        <xdr:sp macro="" textlink="">
          <xdr:nvSpPr>
            <xdr:cNvPr id="32792" name="CheckBox23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2BC1C19A-6D0D-4363-85A5-BF43B8C76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16</xdr:row>
          <xdr:rowOff>19050</xdr:rowOff>
        </xdr:from>
        <xdr:to>
          <xdr:col>12</xdr:col>
          <xdr:colOff>409575</xdr:colOff>
          <xdr:row>17</xdr:row>
          <xdr:rowOff>0</xdr:rowOff>
        </xdr:to>
        <xdr:sp macro="" textlink="">
          <xdr:nvSpPr>
            <xdr:cNvPr id="32793" name="CheckBox24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766E047B-C8CE-4114-A6B4-F67C6261B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17</xdr:row>
          <xdr:rowOff>28575</xdr:rowOff>
        </xdr:from>
        <xdr:to>
          <xdr:col>12</xdr:col>
          <xdr:colOff>409575</xdr:colOff>
          <xdr:row>18</xdr:row>
          <xdr:rowOff>9525</xdr:rowOff>
        </xdr:to>
        <xdr:sp macro="" textlink="">
          <xdr:nvSpPr>
            <xdr:cNvPr id="32794" name="CheckBox25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451E9CD2-28EF-4A44-9058-268FB07534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18</xdr:row>
          <xdr:rowOff>28575</xdr:rowOff>
        </xdr:from>
        <xdr:to>
          <xdr:col>12</xdr:col>
          <xdr:colOff>409575</xdr:colOff>
          <xdr:row>19</xdr:row>
          <xdr:rowOff>9525</xdr:rowOff>
        </xdr:to>
        <xdr:sp macro="" textlink="">
          <xdr:nvSpPr>
            <xdr:cNvPr id="32795" name="CheckBox26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F4E88642-E1DB-482E-B9A0-C45DE1CD9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19</xdr:row>
          <xdr:rowOff>28575</xdr:rowOff>
        </xdr:from>
        <xdr:to>
          <xdr:col>12</xdr:col>
          <xdr:colOff>409575</xdr:colOff>
          <xdr:row>20</xdr:row>
          <xdr:rowOff>9525</xdr:rowOff>
        </xdr:to>
        <xdr:sp macro="" textlink="">
          <xdr:nvSpPr>
            <xdr:cNvPr id="32796" name="CheckBox27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F0D535F2-DCEA-490A-B866-CE8C140A8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257175</xdr:colOff>
          <xdr:row>20</xdr:row>
          <xdr:rowOff>28575</xdr:rowOff>
        </xdr:from>
        <xdr:to>
          <xdr:col>12</xdr:col>
          <xdr:colOff>409575</xdr:colOff>
          <xdr:row>21</xdr:row>
          <xdr:rowOff>9525</xdr:rowOff>
        </xdr:to>
        <xdr:sp macro="" textlink="">
          <xdr:nvSpPr>
            <xdr:cNvPr id="32797" name="CheckBox28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6B9D1995-1417-4ADE-997E-FFFB689815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14</xdr:row>
          <xdr:rowOff>19050</xdr:rowOff>
        </xdr:from>
        <xdr:to>
          <xdr:col>11</xdr:col>
          <xdr:colOff>409575</xdr:colOff>
          <xdr:row>15</xdr:row>
          <xdr:rowOff>0</xdr:rowOff>
        </xdr:to>
        <xdr:sp macro="" textlink="">
          <xdr:nvSpPr>
            <xdr:cNvPr id="32798" name="CheckBox29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FDA190B8-01D6-4CF5-968D-87F7A33D9C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15</xdr:row>
          <xdr:rowOff>28575</xdr:rowOff>
        </xdr:from>
        <xdr:to>
          <xdr:col>11</xdr:col>
          <xdr:colOff>409575</xdr:colOff>
          <xdr:row>16</xdr:row>
          <xdr:rowOff>9525</xdr:rowOff>
        </xdr:to>
        <xdr:sp macro="" textlink="">
          <xdr:nvSpPr>
            <xdr:cNvPr id="32799" name="CheckBox30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9D1584B-DF1F-461A-ADF0-47D933E25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16</xdr:row>
          <xdr:rowOff>19050</xdr:rowOff>
        </xdr:from>
        <xdr:to>
          <xdr:col>11</xdr:col>
          <xdr:colOff>409575</xdr:colOff>
          <xdr:row>17</xdr:row>
          <xdr:rowOff>0</xdr:rowOff>
        </xdr:to>
        <xdr:sp macro="" textlink="">
          <xdr:nvSpPr>
            <xdr:cNvPr id="32800" name="CheckBox31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D29102CF-1DB4-4565-B0E2-984C42FAA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17</xdr:row>
          <xdr:rowOff>28575</xdr:rowOff>
        </xdr:from>
        <xdr:to>
          <xdr:col>11</xdr:col>
          <xdr:colOff>409575</xdr:colOff>
          <xdr:row>18</xdr:row>
          <xdr:rowOff>9525</xdr:rowOff>
        </xdr:to>
        <xdr:sp macro="" textlink="">
          <xdr:nvSpPr>
            <xdr:cNvPr id="32801" name="CheckBox32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E698E045-6672-4B8A-856F-147467F10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257175</xdr:colOff>
          <xdr:row>18</xdr:row>
          <xdr:rowOff>28575</xdr:rowOff>
        </xdr:from>
        <xdr:to>
          <xdr:col>11</xdr:col>
          <xdr:colOff>409575</xdr:colOff>
          <xdr:row>19</xdr:row>
          <xdr:rowOff>9525</xdr:rowOff>
        </xdr:to>
        <xdr:sp macro="" textlink="">
          <xdr:nvSpPr>
            <xdr:cNvPr id="32802" name="CheckBox33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BE677872-15E4-4EE3-B6F7-07DA1B751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19</xdr:row>
          <xdr:rowOff>28575</xdr:rowOff>
        </xdr:from>
        <xdr:to>
          <xdr:col>11</xdr:col>
          <xdr:colOff>419100</xdr:colOff>
          <xdr:row>20</xdr:row>
          <xdr:rowOff>9525</xdr:rowOff>
        </xdr:to>
        <xdr:sp macro="" textlink="">
          <xdr:nvSpPr>
            <xdr:cNvPr id="32803" name="CheckBox34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31E2D5EA-8A3F-435F-A1CE-C522B27E21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20</xdr:row>
          <xdr:rowOff>28575</xdr:rowOff>
        </xdr:from>
        <xdr:to>
          <xdr:col>11</xdr:col>
          <xdr:colOff>419100</xdr:colOff>
          <xdr:row>21</xdr:row>
          <xdr:rowOff>9525</xdr:rowOff>
        </xdr:to>
        <xdr:sp macro="" textlink="">
          <xdr:nvSpPr>
            <xdr:cNvPr id="32804" name="CheckBox35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75B5544-9087-47F7-B7DA-D389E2837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14</xdr:row>
          <xdr:rowOff>19050</xdr:rowOff>
        </xdr:from>
        <xdr:to>
          <xdr:col>10</xdr:col>
          <xdr:colOff>419100</xdr:colOff>
          <xdr:row>15</xdr:row>
          <xdr:rowOff>0</xdr:rowOff>
        </xdr:to>
        <xdr:sp macro="" textlink="">
          <xdr:nvSpPr>
            <xdr:cNvPr id="32805" name="CheckBox36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696881E9-477B-4DBF-BE53-B3DCECADB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15</xdr:row>
          <xdr:rowOff>28575</xdr:rowOff>
        </xdr:from>
        <xdr:to>
          <xdr:col>10</xdr:col>
          <xdr:colOff>419100</xdr:colOff>
          <xdr:row>16</xdr:row>
          <xdr:rowOff>9525</xdr:rowOff>
        </xdr:to>
        <xdr:sp macro="" textlink="">
          <xdr:nvSpPr>
            <xdr:cNvPr id="32806" name="CheckBox37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F18DDAD1-2754-4602-B081-C203FEF7A4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16</xdr:row>
          <xdr:rowOff>19050</xdr:rowOff>
        </xdr:from>
        <xdr:to>
          <xdr:col>10</xdr:col>
          <xdr:colOff>419100</xdr:colOff>
          <xdr:row>17</xdr:row>
          <xdr:rowOff>0</xdr:rowOff>
        </xdr:to>
        <xdr:sp macro="" textlink="">
          <xdr:nvSpPr>
            <xdr:cNvPr id="32807" name="CheckBox38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6FD76081-064E-4118-863F-8EB33C24D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17</xdr:row>
          <xdr:rowOff>28575</xdr:rowOff>
        </xdr:from>
        <xdr:to>
          <xdr:col>10</xdr:col>
          <xdr:colOff>419100</xdr:colOff>
          <xdr:row>18</xdr:row>
          <xdr:rowOff>9525</xdr:rowOff>
        </xdr:to>
        <xdr:sp macro="" textlink="">
          <xdr:nvSpPr>
            <xdr:cNvPr id="32808" name="CheckBox39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54DD418A-2BD5-4E6E-A5CF-B6C5E2EF8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18</xdr:row>
          <xdr:rowOff>19050</xdr:rowOff>
        </xdr:from>
        <xdr:to>
          <xdr:col>10</xdr:col>
          <xdr:colOff>419100</xdr:colOff>
          <xdr:row>19</xdr:row>
          <xdr:rowOff>0</xdr:rowOff>
        </xdr:to>
        <xdr:sp macro="" textlink="">
          <xdr:nvSpPr>
            <xdr:cNvPr id="32809" name="CheckBox40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C7579BA3-681A-4B11-91F9-E68AF7CD9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19</xdr:row>
          <xdr:rowOff>28575</xdr:rowOff>
        </xdr:from>
        <xdr:to>
          <xdr:col>10</xdr:col>
          <xdr:colOff>419100</xdr:colOff>
          <xdr:row>20</xdr:row>
          <xdr:rowOff>9525</xdr:rowOff>
        </xdr:to>
        <xdr:sp macro="" textlink="">
          <xdr:nvSpPr>
            <xdr:cNvPr id="32810" name="CheckBox41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D27C7D11-FA8A-45DD-8AB4-41FF34BF25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266700</xdr:colOff>
          <xdr:row>20</xdr:row>
          <xdr:rowOff>28575</xdr:rowOff>
        </xdr:from>
        <xdr:to>
          <xdr:col>10</xdr:col>
          <xdr:colOff>419100</xdr:colOff>
          <xdr:row>21</xdr:row>
          <xdr:rowOff>9525</xdr:rowOff>
        </xdr:to>
        <xdr:sp macro="" textlink="">
          <xdr:nvSpPr>
            <xdr:cNvPr id="32811" name="CheckBox42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E422357D-A13A-45EA-A6AE-B60A9731AB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2.xml"/><Relationship Id="rId39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7.xml"/><Relationship Id="rId34" Type="http://schemas.openxmlformats.org/officeDocument/2006/relationships/control" Target="../activeX/activeX30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29" Type="http://schemas.openxmlformats.org/officeDocument/2006/relationships/control" Target="../activeX/activeX25.xml"/><Relationship Id="rId41" Type="http://schemas.openxmlformats.org/officeDocument/2006/relationships/control" Target="../activeX/activeX3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control" Target="../activeX/activeX52.xml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5.xml"/><Relationship Id="rId39" Type="http://schemas.openxmlformats.org/officeDocument/2006/relationships/control" Target="../activeX/activeX78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60.xml"/><Relationship Id="rId34" Type="http://schemas.openxmlformats.org/officeDocument/2006/relationships/control" Target="../activeX/activeX73.xml"/><Relationship Id="rId42" Type="http://schemas.openxmlformats.org/officeDocument/2006/relationships/control" Target="../activeX/activeX81.xml"/><Relationship Id="rId47" Type="http://schemas.openxmlformats.org/officeDocument/2006/relationships/control" Target="../activeX/activeX86.xml"/><Relationship Id="rId7" Type="http://schemas.openxmlformats.org/officeDocument/2006/relationships/control" Target="../activeX/activeX46.xml"/><Relationship Id="rId12" Type="http://schemas.openxmlformats.org/officeDocument/2006/relationships/control" Target="../activeX/activeX51.xml"/><Relationship Id="rId17" Type="http://schemas.openxmlformats.org/officeDocument/2006/relationships/control" Target="../activeX/activeX56.xml"/><Relationship Id="rId25" Type="http://schemas.openxmlformats.org/officeDocument/2006/relationships/control" Target="../activeX/activeX64.xml"/><Relationship Id="rId33" Type="http://schemas.openxmlformats.org/officeDocument/2006/relationships/control" Target="../activeX/activeX72.xml"/><Relationship Id="rId38" Type="http://schemas.openxmlformats.org/officeDocument/2006/relationships/control" Target="../activeX/activeX77.xml"/><Relationship Id="rId46" Type="http://schemas.openxmlformats.org/officeDocument/2006/relationships/control" Target="../activeX/activeX85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9.xml"/><Relationship Id="rId29" Type="http://schemas.openxmlformats.org/officeDocument/2006/relationships/control" Target="../activeX/activeX68.xml"/><Relationship Id="rId41" Type="http://schemas.openxmlformats.org/officeDocument/2006/relationships/control" Target="../activeX/activeX8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5.xml"/><Relationship Id="rId11" Type="http://schemas.openxmlformats.org/officeDocument/2006/relationships/control" Target="../activeX/activeX50.xml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71.xml"/><Relationship Id="rId37" Type="http://schemas.openxmlformats.org/officeDocument/2006/relationships/control" Target="../activeX/activeX76.xml"/><Relationship Id="rId40" Type="http://schemas.openxmlformats.org/officeDocument/2006/relationships/control" Target="../activeX/activeX79.xml"/><Relationship Id="rId45" Type="http://schemas.openxmlformats.org/officeDocument/2006/relationships/control" Target="../activeX/activeX84.xml"/><Relationship Id="rId5" Type="http://schemas.openxmlformats.org/officeDocument/2006/relationships/image" Target="../media/image1.emf"/><Relationship Id="rId15" Type="http://schemas.openxmlformats.org/officeDocument/2006/relationships/control" Target="../activeX/activeX54.xml"/><Relationship Id="rId23" Type="http://schemas.openxmlformats.org/officeDocument/2006/relationships/control" Target="../activeX/activeX62.xml"/><Relationship Id="rId28" Type="http://schemas.openxmlformats.org/officeDocument/2006/relationships/control" Target="../activeX/activeX67.xml"/><Relationship Id="rId36" Type="http://schemas.openxmlformats.org/officeDocument/2006/relationships/control" Target="../activeX/activeX75.xml"/><Relationship Id="rId10" Type="http://schemas.openxmlformats.org/officeDocument/2006/relationships/control" Target="../activeX/activeX49.xml"/><Relationship Id="rId19" Type="http://schemas.openxmlformats.org/officeDocument/2006/relationships/control" Target="../activeX/activeX58.xml"/><Relationship Id="rId31" Type="http://schemas.openxmlformats.org/officeDocument/2006/relationships/control" Target="../activeX/activeX70.xml"/><Relationship Id="rId44" Type="http://schemas.openxmlformats.org/officeDocument/2006/relationships/control" Target="../activeX/activeX83.xml"/><Relationship Id="rId4" Type="http://schemas.openxmlformats.org/officeDocument/2006/relationships/control" Target="../activeX/activeX44.xml"/><Relationship Id="rId9" Type="http://schemas.openxmlformats.org/officeDocument/2006/relationships/control" Target="../activeX/activeX48.xml"/><Relationship Id="rId14" Type="http://schemas.openxmlformats.org/officeDocument/2006/relationships/control" Target="../activeX/activeX53.xml"/><Relationship Id="rId22" Type="http://schemas.openxmlformats.org/officeDocument/2006/relationships/control" Target="../activeX/activeX61.xml"/><Relationship Id="rId27" Type="http://schemas.openxmlformats.org/officeDocument/2006/relationships/control" Target="../activeX/activeX66.xml"/><Relationship Id="rId30" Type="http://schemas.openxmlformats.org/officeDocument/2006/relationships/control" Target="../activeX/activeX69.xml"/><Relationship Id="rId35" Type="http://schemas.openxmlformats.org/officeDocument/2006/relationships/control" Target="../activeX/activeX74.xml"/><Relationship Id="rId43" Type="http://schemas.openxmlformats.org/officeDocument/2006/relationships/control" Target="../activeX/activeX82.xml"/><Relationship Id="rId48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9EEB-4EA8-41A8-B39C-E76F0AA83316}">
  <sheetPr codeName="Sheet2"/>
  <dimension ref="A1:Q37"/>
  <sheetViews>
    <sheetView showGridLines="0" tabSelected="1" zoomScaleNormal="100" workbookViewId="0">
      <pane ySplit="3" topLeftCell="A4" activePane="bottomLeft" state="frozen"/>
      <selection pane="bottomLeft" activeCell="N3" sqref="N3"/>
    </sheetView>
  </sheetViews>
  <sheetFormatPr defaultRowHeight="15" x14ac:dyDescent="0.25"/>
  <cols>
    <col min="1" max="2" width="11.140625" customWidth="1"/>
    <col min="3" max="4" width="9.5703125" customWidth="1"/>
    <col min="5" max="5" width="5.5703125" bestFit="1" customWidth="1"/>
    <col min="6" max="7" width="9.5703125" customWidth="1"/>
    <col min="8" max="8" width="4.5703125" customWidth="1"/>
    <col min="9" max="13" width="9.5703125" customWidth="1"/>
    <col min="14" max="14" width="9" customWidth="1"/>
    <col min="15" max="15" width="12" customWidth="1"/>
    <col min="17" max="17" width="12.5703125" customWidth="1"/>
  </cols>
  <sheetData>
    <row r="1" spans="1:17" ht="18" x14ac:dyDescent="0.25">
      <c r="A1" s="18" t="s">
        <v>0</v>
      </c>
      <c r="B1" s="68"/>
      <c r="C1" s="68"/>
      <c r="D1" s="68"/>
      <c r="E1" s="68"/>
      <c r="F1" s="68"/>
      <c r="G1" s="69" t="s">
        <v>1</v>
      </c>
      <c r="H1" s="69"/>
      <c r="Q1" s="59" t="s">
        <v>35</v>
      </c>
    </row>
    <row r="2" spans="1:17" x14ac:dyDescent="0.25">
      <c r="A2" s="70" t="s">
        <v>2</v>
      </c>
      <c r="B2" s="70"/>
      <c r="C2" s="71">
        <v>44598</v>
      </c>
      <c r="D2" s="71"/>
      <c r="E2" s="14"/>
      <c r="F2" s="14"/>
    </row>
    <row r="3" spans="1:17" ht="28.5" x14ac:dyDescent="0.25">
      <c r="A3" s="7" t="s">
        <v>3</v>
      </c>
      <c r="B3" s="7" t="s">
        <v>4</v>
      </c>
      <c r="C3" s="10" t="s">
        <v>5</v>
      </c>
      <c r="D3" s="10" t="s">
        <v>6</v>
      </c>
      <c r="E3" s="7" t="s">
        <v>7</v>
      </c>
      <c r="F3" s="8" t="s">
        <v>8</v>
      </c>
      <c r="G3" s="27" t="s">
        <v>9</v>
      </c>
      <c r="H3" s="57"/>
      <c r="I3" s="28" t="s">
        <v>10</v>
      </c>
      <c r="J3" s="9" t="s">
        <v>11</v>
      </c>
      <c r="K3" s="75" t="s">
        <v>33</v>
      </c>
      <c r="L3" s="9" t="s">
        <v>12</v>
      </c>
      <c r="M3" s="9" t="s">
        <v>13</v>
      </c>
      <c r="N3" s="9" t="s">
        <v>14</v>
      </c>
    </row>
    <row r="4" spans="1:17" x14ac:dyDescent="0.25">
      <c r="A4" s="25" t="s">
        <v>15</v>
      </c>
      <c r="B4" s="46">
        <f>C2</f>
        <v>44598</v>
      </c>
      <c r="C4" s="87"/>
      <c r="D4" s="86"/>
      <c r="E4" s="11"/>
      <c r="F4" s="85"/>
      <c r="G4" s="86"/>
      <c r="H4" s="15"/>
      <c r="I4" s="40">
        <f>((TIME(HOUR(D4),MINUTE(D4),SECOND(D4))-(TIME(HOUR(C4),MINUTE(C4),SECOND(C4))))+(TIME(HOUR(G4),MINUTE(G4),SECOND(G4))-(TIME(HOUR(F4),MINUTE(F4),SECOND(F4)))))*24</f>
        <v>0</v>
      </c>
      <c r="J4" s="81"/>
      <c r="K4" s="82"/>
      <c r="L4" s="17"/>
      <c r="M4" s="16"/>
      <c r="N4" s="17"/>
    </row>
    <row r="5" spans="1:17" x14ac:dyDescent="0.25">
      <c r="A5" s="25" t="s">
        <v>16</v>
      </c>
      <c r="B5" s="46">
        <f>B4+1</f>
        <v>44599</v>
      </c>
      <c r="C5" s="87"/>
      <c r="D5" s="86"/>
      <c r="E5" s="11"/>
      <c r="F5" s="85"/>
      <c r="G5" s="86"/>
      <c r="H5" s="2"/>
      <c r="I5" s="40">
        <f>((TIME(HOUR(D5),MINUTE(D5),SECOND(D5))-(TIME(HOUR(C5),MINUTE(C5),SECOND(C5))))+(TIME(HOUR(G5),MINUTE(G5),SECOND(G5))-(TIME(HOUR(F5),MINUTE(F5),SECOND(F5)))))*24</f>
        <v>0</v>
      </c>
      <c r="J5" s="81"/>
      <c r="K5" s="82"/>
      <c r="L5" s="17"/>
      <c r="M5" s="16"/>
      <c r="N5" s="17"/>
      <c r="O5" s="53"/>
    </row>
    <row r="6" spans="1:17" x14ac:dyDescent="0.25">
      <c r="A6" s="25" t="s">
        <v>17</v>
      </c>
      <c r="B6" s="46">
        <f t="shared" ref="B6:B10" si="0">B5+1</f>
        <v>44600</v>
      </c>
      <c r="C6" s="87"/>
      <c r="D6" s="86"/>
      <c r="E6" s="11"/>
      <c r="F6" s="85"/>
      <c r="G6" s="86"/>
      <c r="H6" s="2"/>
      <c r="I6" s="40">
        <f t="shared" ref="I6:I10" si="1">((TIME(HOUR(D6),MINUTE(D6),SECOND(D6))-(TIME(HOUR(C6),MINUTE(C6),SECOND(C6))))+(TIME(HOUR(G6),MINUTE(G6),SECOND(G6))-(TIME(HOUR(F6),MINUTE(F6),SECOND(F6)))))*24</f>
        <v>0</v>
      </c>
      <c r="J6" s="81"/>
      <c r="K6" s="82"/>
      <c r="L6" s="17"/>
      <c r="M6" s="16"/>
      <c r="N6" s="17"/>
    </row>
    <row r="7" spans="1:17" x14ac:dyDescent="0.25">
      <c r="A7" s="25" t="s">
        <v>18</v>
      </c>
      <c r="B7" s="46">
        <f t="shared" si="0"/>
        <v>44601</v>
      </c>
      <c r="C7" s="87"/>
      <c r="D7" s="86"/>
      <c r="E7" s="11"/>
      <c r="F7" s="85"/>
      <c r="G7" s="86"/>
      <c r="H7" s="2"/>
      <c r="I7" s="40">
        <f t="shared" si="1"/>
        <v>0</v>
      </c>
      <c r="J7" s="81"/>
      <c r="K7" s="82"/>
      <c r="L7" s="17"/>
      <c r="M7" s="16"/>
      <c r="N7" s="17"/>
    </row>
    <row r="8" spans="1:17" x14ac:dyDescent="0.25">
      <c r="A8" s="25" t="s">
        <v>19</v>
      </c>
      <c r="B8" s="46">
        <f t="shared" si="0"/>
        <v>44602</v>
      </c>
      <c r="C8" s="87"/>
      <c r="D8" s="86"/>
      <c r="E8" s="11"/>
      <c r="F8" s="85"/>
      <c r="G8" s="86"/>
      <c r="H8" s="2"/>
      <c r="I8" s="40">
        <f>((TIME(HOUR(D8),MINUTE(D8),SECOND(D8))-(TIME(HOUR(C8),MINUTE(C8),SECOND(C8))))+(TIME(HOUR(G8),MINUTE(G8),SECOND(G8))-(TIME(HOUR(F8),MINUTE(F8),SECOND(F8)))))*24</f>
        <v>0</v>
      </c>
      <c r="J8" s="81"/>
      <c r="K8" s="82"/>
      <c r="L8" s="76"/>
      <c r="M8" s="16"/>
      <c r="N8" s="17"/>
    </row>
    <row r="9" spans="1:17" x14ac:dyDescent="0.25">
      <c r="A9" s="25" t="s">
        <v>20</v>
      </c>
      <c r="B9" s="46">
        <f t="shared" si="0"/>
        <v>44603</v>
      </c>
      <c r="C9" s="87"/>
      <c r="D9" s="86"/>
      <c r="E9" s="11"/>
      <c r="F9" s="85"/>
      <c r="G9" s="86"/>
      <c r="H9" s="2"/>
      <c r="I9" s="40">
        <f t="shared" si="1"/>
        <v>0</v>
      </c>
      <c r="J9" s="81"/>
      <c r="K9" s="82"/>
      <c r="L9" s="76"/>
      <c r="M9" s="16"/>
      <c r="N9" s="17"/>
    </row>
    <row r="10" spans="1:17" x14ac:dyDescent="0.25">
      <c r="A10" s="25" t="s">
        <v>21</v>
      </c>
      <c r="B10" s="46">
        <f t="shared" si="0"/>
        <v>44604</v>
      </c>
      <c r="C10" s="87"/>
      <c r="D10" s="86"/>
      <c r="E10" s="11"/>
      <c r="F10" s="85"/>
      <c r="G10" s="86"/>
      <c r="H10" s="3"/>
      <c r="I10" s="40">
        <f t="shared" si="1"/>
        <v>0</v>
      </c>
      <c r="J10" s="81"/>
      <c r="K10" s="82"/>
      <c r="L10" s="76"/>
      <c r="M10" s="77"/>
      <c r="N10" s="17"/>
    </row>
    <row r="11" spans="1:17" x14ac:dyDescent="0.25">
      <c r="A11" s="1"/>
      <c r="B11" s="1"/>
      <c r="C11" s="1"/>
      <c r="D11" s="1"/>
      <c r="E11" s="1"/>
      <c r="F11" s="1"/>
      <c r="G11" s="72" t="s">
        <v>22</v>
      </c>
      <c r="H11" s="72"/>
      <c r="I11" s="78">
        <f>SUM(I4:I10)</f>
        <v>0</v>
      </c>
      <c r="J11" s="41">
        <f>SUM(J4:J10)</f>
        <v>0</v>
      </c>
      <c r="K11" s="92">
        <f>SUM(K4:K10)</f>
        <v>0</v>
      </c>
      <c r="L11" s="19"/>
      <c r="M11" s="29"/>
      <c r="N11" s="20"/>
    </row>
    <row r="12" spans="1:17" x14ac:dyDescent="0.25">
      <c r="A12" s="1"/>
      <c r="B12" s="1"/>
      <c r="C12" s="1"/>
      <c r="D12" s="1"/>
      <c r="E12" s="1"/>
      <c r="F12" s="1"/>
      <c r="G12" s="62" t="s">
        <v>23</v>
      </c>
      <c r="H12" s="62"/>
      <c r="I12" s="79">
        <f>IF(I11&gt;40,40,I11)</f>
        <v>0</v>
      </c>
      <c r="J12" s="1"/>
      <c r="L12" s="1"/>
      <c r="M12" s="1"/>
      <c r="N12" s="1"/>
    </row>
    <row r="13" spans="1:17" x14ac:dyDescent="0.25">
      <c r="A13" s="1"/>
      <c r="B13" s="1"/>
      <c r="C13" s="1"/>
      <c r="D13" s="1"/>
      <c r="E13" s="1"/>
      <c r="F13" s="1"/>
      <c r="G13" s="62" t="s">
        <v>24</v>
      </c>
      <c r="H13" s="62"/>
      <c r="I13" s="80">
        <f>IF(I11&gt;40,I11-40,0)</f>
        <v>0</v>
      </c>
      <c r="J13" s="1"/>
      <c r="L13" s="1"/>
      <c r="M13" s="1"/>
      <c r="N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L14" s="1"/>
      <c r="M14" s="1"/>
      <c r="N14" s="1"/>
    </row>
    <row r="15" spans="1:17" x14ac:dyDescent="0.25">
      <c r="A15" s="26" t="s">
        <v>15</v>
      </c>
      <c r="B15" s="45">
        <f>B10+1</f>
        <v>44605</v>
      </c>
      <c r="C15" s="87"/>
      <c r="D15" s="86"/>
      <c r="E15" s="12"/>
      <c r="F15" s="85"/>
      <c r="G15" s="86"/>
      <c r="H15" s="15"/>
      <c r="I15" s="40">
        <f>((TIME(HOUR(D15),MINUTE(D15),SECOND(D15))-(TIME(HOUR(C15),MINUTE(C15),SECOND(C15))))+(TIME(HOUR(G15),MINUTE(G15),SECOND(G15))-(TIME(HOUR(F15),MINUTE(F15),SECOND(F15)))))*24</f>
        <v>0</v>
      </c>
      <c r="J15" s="81"/>
      <c r="K15" s="83"/>
      <c r="L15" s="17"/>
      <c r="M15" s="16"/>
      <c r="N15" s="17"/>
    </row>
    <row r="16" spans="1:17" x14ac:dyDescent="0.25">
      <c r="A16" s="26" t="s">
        <v>16</v>
      </c>
      <c r="B16" s="45">
        <f>B15+1</f>
        <v>44606</v>
      </c>
      <c r="C16" s="87"/>
      <c r="D16" s="86"/>
      <c r="E16" s="12"/>
      <c r="F16" s="85"/>
      <c r="G16" s="86"/>
      <c r="H16" s="2"/>
      <c r="I16" s="40">
        <f>((TIME(HOUR(D16),MINUTE(D16),SECOND(D16))-(TIME(HOUR(C16),MINUTE(C16),SECOND(C16))))+(TIME(HOUR(G16),MINUTE(G16),SECOND(G16))-(TIME(HOUR(F16),MINUTE(F16),SECOND(F16)))))*24</f>
        <v>0</v>
      </c>
      <c r="J16" s="81"/>
      <c r="K16" s="83"/>
      <c r="L16" s="17"/>
      <c r="M16" s="16"/>
      <c r="N16" s="17"/>
    </row>
    <row r="17" spans="1:17" x14ac:dyDescent="0.25">
      <c r="A17" s="26" t="s">
        <v>17</v>
      </c>
      <c r="B17" s="45">
        <f t="shared" ref="B17:B21" si="2">B16+1</f>
        <v>44607</v>
      </c>
      <c r="C17" s="87"/>
      <c r="D17" s="86"/>
      <c r="E17" s="12"/>
      <c r="F17" s="85"/>
      <c r="G17" s="86"/>
      <c r="H17" s="2"/>
      <c r="I17" s="40">
        <f>((TIME(HOUR(D17),MINUTE(D17),SECOND(D17))-(TIME(HOUR(C17),MINUTE(C17),SECOND(C17))))+(TIME(HOUR(G17),MINUTE(G17),SECOND(G17))-(TIME(HOUR(F17),MINUTE(F17),SECOND(F17)))))*24</f>
        <v>0</v>
      </c>
      <c r="J17" s="81"/>
      <c r="K17" s="83"/>
      <c r="L17" s="17"/>
      <c r="M17" s="16"/>
      <c r="N17" s="17"/>
    </row>
    <row r="18" spans="1:17" x14ac:dyDescent="0.25">
      <c r="A18" s="26" t="s">
        <v>18</v>
      </c>
      <c r="B18" s="45">
        <f t="shared" si="2"/>
        <v>44608</v>
      </c>
      <c r="C18" s="87"/>
      <c r="D18" s="86"/>
      <c r="E18" s="12"/>
      <c r="F18" s="85"/>
      <c r="G18" s="86"/>
      <c r="H18" s="2"/>
      <c r="I18" s="40">
        <f t="shared" ref="I18:I21" si="3">((TIME(HOUR(D18),MINUTE(D18),SECOND(D18))-(TIME(HOUR(C18),MINUTE(C18),SECOND(C18))))+(TIME(HOUR(G18),MINUTE(G18),SECOND(G18))-(TIME(HOUR(F18),MINUTE(F18),SECOND(F18)))))*24</f>
        <v>0</v>
      </c>
      <c r="J18" s="81"/>
      <c r="K18" s="83"/>
      <c r="L18" s="17"/>
      <c r="M18" s="16"/>
      <c r="N18" s="17"/>
    </row>
    <row r="19" spans="1:17" x14ac:dyDescent="0.25">
      <c r="A19" s="26" t="s">
        <v>19</v>
      </c>
      <c r="B19" s="45">
        <f t="shared" si="2"/>
        <v>44609</v>
      </c>
      <c r="C19" s="87"/>
      <c r="D19" s="86"/>
      <c r="E19" s="12"/>
      <c r="F19" s="85"/>
      <c r="G19" s="86"/>
      <c r="H19" s="2"/>
      <c r="I19" s="40">
        <f t="shared" si="3"/>
        <v>0</v>
      </c>
      <c r="J19" s="81"/>
      <c r="K19" s="83"/>
      <c r="L19" s="17"/>
      <c r="M19" s="16"/>
      <c r="N19" s="17"/>
    </row>
    <row r="20" spans="1:17" x14ac:dyDescent="0.25">
      <c r="A20" s="26" t="s">
        <v>20</v>
      </c>
      <c r="B20" s="45">
        <f t="shared" si="2"/>
        <v>44610</v>
      </c>
      <c r="C20" s="87"/>
      <c r="D20" s="86"/>
      <c r="E20" s="12"/>
      <c r="F20" s="85"/>
      <c r="G20" s="86"/>
      <c r="H20" s="2"/>
      <c r="I20" s="40">
        <f t="shared" si="3"/>
        <v>0</v>
      </c>
      <c r="J20" s="81"/>
      <c r="K20" s="83"/>
      <c r="L20" s="17"/>
      <c r="M20" s="16"/>
      <c r="N20" s="17"/>
    </row>
    <row r="21" spans="1:17" x14ac:dyDescent="0.25">
      <c r="A21" s="26" t="s">
        <v>21</v>
      </c>
      <c r="B21" s="45">
        <f t="shared" si="2"/>
        <v>44611</v>
      </c>
      <c r="C21" s="87"/>
      <c r="D21" s="86"/>
      <c r="E21" s="12"/>
      <c r="F21" s="85"/>
      <c r="G21" s="86"/>
      <c r="H21" s="4"/>
      <c r="I21" s="40">
        <f t="shared" si="3"/>
        <v>0</v>
      </c>
      <c r="J21" s="81"/>
      <c r="K21" s="83"/>
      <c r="L21" s="17"/>
      <c r="M21" s="77"/>
      <c r="N21" s="17"/>
    </row>
    <row r="22" spans="1:17" x14ac:dyDescent="0.25">
      <c r="A22" s="1"/>
      <c r="B22" s="1"/>
      <c r="C22" s="1"/>
      <c r="D22" s="1"/>
      <c r="E22" s="1"/>
      <c r="F22" s="1"/>
      <c r="G22" s="72" t="s">
        <v>22</v>
      </c>
      <c r="H22" s="73"/>
      <c r="I22" s="41">
        <f>SUM(I15:I21)</f>
        <v>0</v>
      </c>
      <c r="J22" s="41">
        <f>SUM(J15:J21)</f>
        <v>0</v>
      </c>
      <c r="K22" s="92">
        <f>SUM(K15:K21)</f>
        <v>0</v>
      </c>
      <c r="L22" s="22"/>
      <c r="M22" s="30"/>
      <c r="N22" s="23"/>
    </row>
    <row r="23" spans="1:17" x14ac:dyDescent="0.25">
      <c r="A23" s="1"/>
      <c r="B23" s="1"/>
      <c r="C23" s="1"/>
      <c r="D23" s="1"/>
      <c r="E23" s="1"/>
      <c r="F23" s="1"/>
      <c r="G23" s="62" t="s">
        <v>23</v>
      </c>
      <c r="H23" s="74"/>
      <c r="I23" s="42">
        <f>IF(I22&gt;40,40,I22)</f>
        <v>0</v>
      </c>
      <c r="J23" s="1"/>
      <c r="K23" s="1"/>
      <c r="L23" s="1"/>
      <c r="M23" s="1"/>
    </row>
    <row r="24" spans="1:17" x14ac:dyDescent="0.25">
      <c r="A24" s="1"/>
      <c r="B24" s="1"/>
      <c r="C24" s="1"/>
      <c r="D24" s="1"/>
      <c r="E24" s="1"/>
      <c r="F24" s="1"/>
      <c r="G24" s="62" t="s">
        <v>24</v>
      </c>
      <c r="H24" s="62"/>
      <c r="I24" s="43">
        <f>IF(I22&gt;40,I22-40,0)</f>
        <v>0</v>
      </c>
      <c r="J24" s="24"/>
      <c r="K24" s="1"/>
      <c r="L24" s="1"/>
      <c r="M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48"/>
      <c r="J25" s="1"/>
      <c r="K25" s="1"/>
      <c r="L25" s="1"/>
      <c r="M25" s="1"/>
      <c r="Q25" s="53"/>
    </row>
    <row r="26" spans="1:17" x14ac:dyDescent="0.25">
      <c r="A26" s="1"/>
      <c r="B26" s="1"/>
      <c r="C26" s="1"/>
      <c r="D26" s="1"/>
      <c r="E26" s="1"/>
      <c r="F26" s="1"/>
      <c r="G26" s="62" t="s">
        <v>25</v>
      </c>
      <c r="H26" s="63"/>
      <c r="I26" s="49">
        <f>(I12+I23)</f>
        <v>0</v>
      </c>
      <c r="J26" s="1"/>
      <c r="K26" s="1"/>
      <c r="L26" s="1"/>
      <c r="M26" s="1"/>
    </row>
    <row r="27" spans="1:17" x14ac:dyDescent="0.25">
      <c r="A27" s="1"/>
      <c r="B27" s="1"/>
      <c r="C27" s="1"/>
      <c r="D27" s="1"/>
      <c r="E27" s="1"/>
      <c r="F27" s="1"/>
      <c r="G27" s="62" t="s">
        <v>26</v>
      </c>
      <c r="H27" s="63"/>
      <c r="I27" s="50">
        <f>(J11+J22)*17</f>
        <v>0</v>
      </c>
      <c r="J27" s="1"/>
      <c r="K27" s="1"/>
      <c r="L27" s="1"/>
      <c r="M27" s="1"/>
    </row>
    <row r="28" spans="1:17" x14ac:dyDescent="0.25">
      <c r="A28" s="1"/>
      <c r="B28" s="1"/>
      <c r="C28" s="1"/>
      <c r="D28" s="1"/>
      <c r="E28" s="1"/>
      <c r="F28" s="1"/>
      <c r="G28" s="90" t="s">
        <v>34</v>
      </c>
      <c r="H28" s="91"/>
      <c r="I28" s="89">
        <f>(K11+K22)*2.5</f>
        <v>0</v>
      </c>
      <c r="J28" s="1"/>
      <c r="K28" s="1"/>
      <c r="L28" s="1"/>
      <c r="M28" s="1"/>
    </row>
    <row r="29" spans="1:17" x14ac:dyDescent="0.25">
      <c r="A29" s="1"/>
      <c r="B29" s="1"/>
      <c r="C29" s="1"/>
      <c r="D29" s="1"/>
      <c r="E29" s="1"/>
      <c r="F29" s="1"/>
      <c r="G29" s="62" t="s">
        <v>27</v>
      </c>
      <c r="H29" s="63"/>
      <c r="I29" s="88">
        <f>(I13+I24)</f>
        <v>0</v>
      </c>
      <c r="J29" s="47"/>
      <c r="K29" s="1"/>
      <c r="L29" s="1"/>
      <c r="M29" s="1"/>
    </row>
    <row r="30" spans="1:17" x14ac:dyDescent="0.25">
      <c r="A30" s="1"/>
      <c r="B30" s="1"/>
      <c r="C30" s="1"/>
      <c r="D30" s="1"/>
      <c r="E30" s="1"/>
      <c r="F30" s="1"/>
      <c r="G30" s="62" t="s">
        <v>28</v>
      </c>
      <c r="H30" s="62"/>
      <c r="I30" s="54"/>
      <c r="J30" s="24"/>
      <c r="K30" s="1"/>
      <c r="L30" s="1"/>
      <c r="M30" s="1"/>
    </row>
    <row r="31" spans="1:17" x14ac:dyDescent="0.25">
      <c r="A31" s="1"/>
      <c r="B31" s="1"/>
      <c r="C31" s="1"/>
      <c r="D31" s="1"/>
      <c r="E31" s="1"/>
      <c r="G31" s="62" t="s">
        <v>29</v>
      </c>
      <c r="H31" s="62"/>
      <c r="I31" s="84"/>
      <c r="L31" s="1"/>
      <c r="M31" s="1"/>
    </row>
    <row r="32" spans="1:17" x14ac:dyDescent="0.25">
      <c r="A32" s="1"/>
      <c r="B32" s="1"/>
      <c r="C32" s="1"/>
      <c r="D32" s="1"/>
      <c r="E32" s="1"/>
      <c r="G32" s="62" t="s">
        <v>30</v>
      </c>
      <c r="H32" s="62"/>
      <c r="I32" s="84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64"/>
      <c r="H33" s="65"/>
      <c r="I33" s="52"/>
      <c r="J33" s="5"/>
      <c r="K33" s="5"/>
      <c r="L33" s="1"/>
      <c r="M33" s="1"/>
    </row>
    <row r="36" spans="1:13" x14ac:dyDescent="0.25">
      <c r="F36" s="66"/>
      <c r="G36" s="66"/>
      <c r="H36" s="66"/>
      <c r="I36" s="66"/>
      <c r="J36" s="67"/>
      <c r="K36" s="6"/>
    </row>
    <row r="37" spans="1:13" x14ac:dyDescent="0.25">
      <c r="F37" s="60" t="s">
        <v>31</v>
      </c>
      <c r="G37" s="60"/>
      <c r="H37" s="60"/>
      <c r="I37" s="60"/>
      <c r="J37" s="61"/>
      <c r="K37" s="56" t="s">
        <v>4</v>
      </c>
    </row>
  </sheetData>
  <sheetProtection sheet="1" objects="1" scenarios="1"/>
  <mergeCells count="20">
    <mergeCell ref="G28:H28"/>
    <mergeCell ref="G27:H27"/>
    <mergeCell ref="B1:F1"/>
    <mergeCell ref="G1:H1"/>
    <mergeCell ref="A2:B2"/>
    <mergeCell ref="C2:D2"/>
    <mergeCell ref="G11:H11"/>
    <mergeCell ref="G12:H12"/>
    <mergeCell ref="G13:H13"/>
    <mergeCell ref="G22:H22"/>
    <mergeCell ref="G23:H23"/>
    <mergeCell ref="G24:H24"/>
    <mergeCell ref="G26:H26"/>
    <mergeCell ref="F37:J37"/>
    <mergeCell ref="G29:H29"/>
    <mergeCell ref="G30:H30"/>
    <mergeCell ref="G31:H31"/>
    <mergeCell ref="G32:H32"/>
    <mergeCell ref="G33:H33"/>
    <mergeCell ref="F36:J36"/>
  </mergeCells>
  <dataValidations count="4">
    <dataValidation type="decimal" allowBlank="1" showInputMessage="1" showErrorMessage="1" sqref="I30:I32" xr:uid="{2925A766-F9FA-43F5-9738-C290FC0257C2}">
      <formula1>0</formula1>
      <formula2>999.99</formula2>
    </dataValidation>
    <dataValidation type="decimal" allowBlank="1" showInputMessage="1" showErrorMessage="1" errorTitle="Error" error="Enter hours using the format: _x000a_00.00_x000a__x000a_Example: 2.50" sqref="J4:J10 J15:J21" xr:uid="{555BE123-2FE8-4EBC-80DF-331A9DEE41F7}">
      <formula1>0</formula1>
      <formula2>24</formula2>
    </dataValidation>
    <dataValidation type="custom" allowBlank="1" showInputMessage="1" showErrorMessage="1" errorTitle="Error" error="Date must be a Sunday" sqref="C2:D2" xr:uid="{28E5D75E-68EF-4A7D-A6B7-CE762089D5CD}">
      <formula1>WEEKDAY(C2)=1</formula1>
    </dataValidation>
    <dataValidation type="time" allowBlank="1" showInputMessage="1" showErrorMessage="1" errorTitle="Error" error="Enter time using the format: hh:mm AM/PM_x000a__x000a_Example: 8:30 AM_x000a__x000a_There must be a space between the time and period" sqref="F4:G10 F15:G21 C15:D21 C4:D10" xr:uid="{7EC0DE7B-1FCE-4A12-ACE6-001612FF86DF}">
      <formula1>0</formula1>
      <formula2>0.999305555555556</formula2>
    </dataValidation>
  </dataValidations>
  <printOptions horizontalCentered="1" verticalCentered="1"/>
  <pageMargins left="0.25" right="0.25" top="0.25" bottom="0.25" header="0.25" footer="0.25"/>
  <pageSetup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1787" r:id="rId4" name="CheckBox42">
          <controlPr defaultSize="0" autoLine="0" r:id="rId5">
            <anchor>
              <from>
                <xdr:col>13</xdr:col>
                <xdr:colOff>228600</xdr:colOff>
                <xdr:row>20</xdr:row>
                <xdr:rowOff>28575</xdr:rowOff>
              </from>
              <to>
                <xdr:col>13</xdr:col>
                <xdr:colOff>381000</xdr:colOff>
                <xdr:row>21</xdr:row>
                <xdr:rowOff>9525</xdr:rowOff>
              </to>
            </anchor>
          </controlPr>
        </control>
      </mc:Choice>
      <mc:Fallback>
        <control shapeId="31787" r:id="rId4" name="CheckBox42"/>
      </mc:Fallback>
    </mc:AlternateContent>
    <mc:AlternateContent xmlns:mc="http://schemas.openxmlformats.org/markup-compatibility/2006">
      <mc:Choice Requires="x14">
        <control shapeId="31786" r:id="rId6" name="CheckBox41">
          <controlPr defaultSize="0" autoLine="0" r:id="rId5">
            <anchor>
              <from>
                <xdr:col>13</xdr:col>
                <xdr:colOff>228600</xdr:colOff>
                <xdr:row>19</xdr:row>
                <xdr:rowOff>28575</xdr:rowOff>
              </from>
              <to>
                <xdr:col>13</xdr:col>
                <xdr:colOff>381000</xdr:colOff>
                <xdr:row>20</xdr:row>
                <xdr:rowOff>9525</xdr:rowOff>
              </to>
            </anchor>
          </controlPr>
        </control>
      </mc:Choice>
      <mc:Fallback>
        <control shapeId="31786" r:id="rId6" name="CheckBox41"/>
      </mc:Fallback>
    </mc:AlternateContent>
    <mc:AlternateContent xmlns:mc="http://schemas.openxmlformats.org/markup-compatibility/2006">
      <mc:Choice Requires="x14">
        <control shapeId="31785" r:id="rId7" name="CheckBox40">
          <controlPr defaultSize="0" autoLine="0" r:id="rId5">
            <anchor>
              <from>
                <xdr:col>13</xdr:col>
                <xdr:colOff>228600</xdr:colOff>
                <xdr:row>18</xdr:row>
                <xdr:rowOff>19050</xdr:rowOff>
              </from>
              <to>
                <xdr:col>13</xdr:col>
                <xdr:colOff>381000</xdr:colOff>
                <xdr:row>19</xdr:row>
                <xdr:rowOff>0</xdr:rowOff>
              </to>
            </anchor>
          </controlPr>
        </control>
      </mc:Choice>
      <mc:Fallback>
        <control shapeId="31785" r:id="rId7" name="CheckBox40"/>
      </mc:Fallback>
    </mc:AlternateContent>
    <mc:AlternateContent xmlns:mc="http://schemas.openxmlformats.org/markup-compatibility/2006">
      <mc:Choice Requires="x14">
        <control shapeId="31784" r:id="rId8" name="CheckBox39">
          <controlPr defaultSize="0" autoLine="0" r:id="rId5">
            <anchor>
              <from>
                <xdr:col>13</xdr:col>
                <xdr:colOff>228600</xdr:colOff>
                <xdr:row>17</xdr:row>
                <xdr:rowOff>28575</xdr:rowOff>
              </from>
              <to>
                <xdr:col>13</xdr:col>
                <xdr:colOff>381000</xdr:colOff>
                <xdr:row>18</xdr:row>
                <xdr:rowOff>9525</xdr:rowOff>
              </to>
            </anchor>
          </controlPr>
        </control>
      </mc:Choice>
      <mc:Fallback>
        <control shapeId="31784" r:id="rId8" name="CheckBox39"/>
      </mc:Fallback>
    </mc:AlternateContent>
    <mc:AlternateContent xmlns:mc="http://schemas.openxmlformats.org/markup-compatibility/2006">
      <mc:Choice Requires="x14">
        <control shapeId="31783" r:id="rId9" name="CheckBox38">
          <controlPr defaultSize="0" autoLine="0" r:id="rId5">
            <anchor>
              <from>
                <xdr:col>13</xdr:col>
                <xdr:colOff>228600</xdr:colOff>
                <xdr:row>16</xdr:row>
                <xdr:rowOff>19050</xdr:rowOff>
              </from>
              <to>
                <xdr:col>13</xdr:col>
                <xdr:colOff>381000</xdr:colOff>
                <xdr:row>17</xdr:row>
                <xdr:rowOff>0</xdr:rowOff>
              </to>
            </anchor>
          </controlPr>
        </control>
      </mc:Choice>
      <mc:Fallback>
        <control shapeId="31783" r:id="rId9" name="CheckBox38"/>
      </mc:Fallback>
    </mc:AlternateContent>
    <mc:AlternateContent xmlns:mc="http://schemas.openxmlformats.org/markup-compatibility/2006">
      <mc:Choice Requires="x14">
        <control shapeId="31782" r:id="rId10" name="CheckBox37">
          <controlPr defaultSize="0" autoLine="0" r:id="rId5">
            <anchor>
              <from>
                <xdr:col>13</xdr:col>
                <xdr:colOff>228600</xdr:colOff>
                <xdr:row>15</xdr:row>
                <xdr:rowOff>28575</xdr:rowOff>
              </from>
              <to>
                <xdr:col>13</xdr:col>
                <xdr:colOff>381000</xdr:colOff>
                <xdr:row>16</xdr:row>
                <xdr:rowOff>9525</xdr:rowOff>
              </to>
            </anchor>
          </controlPr>
        </control>
      </mc:Choice>
      <mc:Fallback>
        <control shapeId="31782" r:id="rId10" name="CheckBox37"/>
      </mc:Fallback>
    </mc:AlternateContent>
    <mc:AlternateContent xmlns:mc="http://schemas.openxmlformats.org/markup-compatibility/2006">
      <mc:Choice Requires="x14">
        <control shapeId="31781" r:id="rId11" name="CheckBox36">
          <controlPr defaultSize="0" autoLine="0" r:id="rId5">
            <anchor>
              <from>
                <xdr:col>13</xdr:col>
                <xdr:colOff>228600</xdr:colOff>
                <xdr:row>14</xdr:row>
                <xdr:rowOff>19050</xdr:rowOff>
              </from>
              <to>
                <xdr:col>13</xdr:col>
                <xdr:colOff>381000</xdr:colOff>
                <xdr:row>15</xdr:row>
                <xdr:rowOff>0</xdr:rowOff>
              </to>
            </anchor>
          </controlPr>
        </control>
      </mc:Choice>
      <mc:Fallback>
        <control shapeId="31781" r:id="rId11" name="CheckBox36"/>
      </mc:Fallback>
    </mc:AlternateContent>
    <mc:AlternateContent xmlns:mc="http://schemas.openxmlformats.org/markup-compatibility/2006">
      <mc:Choice Requires="x14">
        <control shapeId="31780" r:id="rId12" name="CheckBox35">
          <controlPr defaultSize="0" autoLine="0" r:id="rId5">
            <anchor>
              <from>
                <xdr:col>11</xdr:col>
                <xdr:colOff>266700</xdr:colOff>
                <xdr:row>20</xdr:row>
                <xdr:rowOff>28575</xdr:rowOff>
              </from>
              <to>
                <xdr:col>11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1780" r:id="rId12" name="CheckBox35"/>
      </mc:Fallback>
    </mc:AlternateContent>
    <mc:AlternateContent xmlns:mc="http://schemas.openxmlformats.org/markup-compatibility/2006">
      <mc:Choice Requires="x14">
        <control shapeId="31779" r:id="rId13" name="CheckBox34">
          <controlPr defaultSize="0" autoLine="0" r:id="rId5">
            <anchor>
              <from>
                <xdr:col>11</xdr:col>
                <xdr:colOff>266700</xdr:colOff>
                <xdr:row>19</xdr:row>
                <xdr:rowOff>28575</xdr:rowOff>
              </from>
              <to>
                <xdr:col>11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1779" r:id="rId13" name="CheckBox34"/>
      </mc:Fallback>
    </mc:AlternateContent>
    <mc:AlternateContent xmlns:mc="http://schemas.openxmlformats.org/markup-compatibility/2006">
      <mc:Choice Requires="x14">
        <control shapeId="31778" r:id="rId14" name="CheckBox33">
          <controlPr defaultSize="0" autoLine="0" r:id="rId5">
            <anchor>
              <from>
                <xdr:col>11</xdr:col>
                <xdr:colOff>257175</xdr:colOff>
                <xdr:row>18</xdr:row>
                <xdr:rowOff>28575</xdr:rowOff>
              </from>
              <to>
                <xdr:col>11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8" r:id="rId14" name="CheckBox33"/>
      </mc:Fallback>
    </mc:AlternateContent>
    <mc:AlternateContent xmlns:mc="http://schemas.openxmlformats.org/markup-compatibility/2006">
      <mc:Choice Requires="x14">
        <control shapeId="31777" r:id="rId15" name="CheckBox32">
          <controlPr defaultSize="0" autoLine="0" r:id="rId5">
            <anchor>
              <from>
                <xdr:col>11</xdr:col>
                <xdr:colOff>257175</xdr:colOff>
                <xdr:row>17</xdr:row>
                <xdr:rowOff>28575</xdr:rowOff>
              </from>
              <to>
                <xdr:col>11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7" r:id="rId15" name="CheckBox32"/>
      </mc:Fallback>
    </mc:AlternateContent>
    <mc:AlternateContent xmlns:mc="http://schemas.openxmlformats.org/markup-compatibility/2006">
      <mc:Choice Requires="x14">
        <control shapeId="31776" r:id="rId16" name="CheckBox31">
          <controlPr defaultSize="0" autoLine="0" r:id="rId5">
            <anchor>
              <from>
                <xdr:col>11</xdr:col>
                <xdr:colOff>257175</xdr:colOff>
                <xdr:row>16</xdr:row>
                <xdr:rowOff>19050</xdr:rowOff>
              </from>
              <to>
                <xdr:col>11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76" r:id="rId16" name="CheckBox31"/>
      </mc:Fallback>
    </mc:AlternateContent>
    <mc:AlternateContent xmlns:mc="http://schemas.openxmlformats.org/markup-compatibility/2006">
      <mc:Choice Requires="x14">
        <control shapeId="31775" r:id="rId17" name="CheckBox30">
          <controlPr defaultSize="0" autoLine="0" r:id="rId5">
            <anchor>
              <from>
                <xdr:col>11</xdr:col>
                <xdr:colOff>257175</xdr:colOff>
                <xdr:row>15</xdr:row>
                <xdr:rowOff>28575</xdr:rowOff>
              </from>
              <to>
                <xdr:col>11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75" r:id="rId17" name="CheckBox30"/>
      </mc:Fallback>
    </mc:AlternateContent>
    <mc:AlternateContent xmlns:mc="http://schemas.openxmlformats.org/markup-compatibility/2006">
      <mc:Choice Requires="x14">
        <control shapeId="31774" r:id="rId18" name="CheckBox29">
          <controlPr defaultSize="0" autoLine="0" r:id="rId5">
            <anchor>
              <from>
                <xdr:col>11</xdr:col>
                <xdr:colOff>257175</xdr:colOff>
                <xdr:row>14</xdr:row>
                <xdr:rowOff>19050</xdr:rowOff>
              </from>
              <to>
                <xdr:col>11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74" r:id="rId18" name="CheckBox29"/>
      </mc:Fallback>
    </mc:AlternateContent>
    <mc:AlternateContent xmlns:mc="http://schemas.openxmlformats.org/markup-compatibility/2006">
      <mc:Choice Requires="x14">
        <control shapeId="31773" r:id="rId19" name="CheckBox28">
          <controlPr defaultSize="0" autoLine="0" r:id="rId5">
            <anchor>
              <from>
                <xdr:col>12</xdr:col>
                <xdr:colOff>257175</xdr:colOff>
                <xdr:row>20</xdr:row>
                <xdr:rowOff>28575</xdr:rowOff>
              </from>
              <to>
                <xdr:col>12</xdr:col>
                <xdr:colOff>409575</xdr:colOff>
                <xdr:row>21</xdr:row>
                <xdr:rowOff>9525</xdr:rowOff>
              </to>
            </anchor>
          </controlPr>
        </control>
      </mc:Choice>
      <mc:Fallback>
        <control shapeId="31773" r:id="rId19" name="CheckBox28"/>
      </mc:Fallback>
    </mc:AlternateContent>
    <mc:AlternateContent xmlns:mc="http://schemas.openxmlformats.org/markup-compatibility/2006">
      <mc:Choice Requires="x14">
        <control shapeId="31772" r:id="rId20" name="CheckBox27">
          <controlPr defaultSize="0" autoLine="0" r:id="rId5">
            <anchor>
              <from>
                <xdr:col>12</xdr:col>
                <xdr:colOff>257175</xdr:colOff>
                <xdr:row>19</xdr:row>
                <xdr:rowOff>28575</xdr:rowOff>
              </from>
              <to>
                <xdr:col>12</xdr:col>
                <xdr:colOff>409575</xdr:colOff>
                <xdr:row>20</xdr:row>
                <xdr:rowOff>9525</xdr:rowOff>
              </to>
            </anchor>
          </controlPr>
        </control>
      </mc:Choice>
      <mc:Fallback>
        <control shapeId="31772" r:id="rId20" name="CheckBox27"/>
      </mc:Fallback>
    </mc:AlternateContent>
    <mc:AlternateContent xmlns:mc="http://schemas.openxmlformats.org/markup-compatibility/2006">
      <mc:Choice Requires="x14">
        <control shapeId="31771" r:id="rId21" name="CheckBox26">
          <controlPr defaultSize="0" autoLine="0" r:id="rId5">
            <anchor>
              <from>
                <xdr:col>12</xdr:col>
                <xdr:colOff>257175</xdr:colOff>
                <xdr:row>18</xdr:row>
                <xdr:rowOff>28575</xdr:rowOff>
              </from>
              <to>
                <xdr:col>12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1771" r:id="rId21" name="CheckBox26"/>
      </mc:Fallback>
    </mc:AlternateContent>
    <mc:AlternateContent xmlns:mc="http://schemas.openxmlformats.org/markup-compatibility/2006">
      <mc:Choice Requires="x14">
        <control shapeId="31770" r:id="rId22" name="CheckBox25">
          <controlPr defaultSize="0" autoLine="0" r:id="rId5">
            <anchor>
              <from>
                <xdr:col>12</xdr:col>
                <xdr:colOff>257175</xdr:colOff>
                <xdr:row>17</xdr:row>
                <xdr:rowOff>28575</xdr:rowOff>
              </from>
              <to>
                <xdr:col>12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1770" r:id="rId22" name="CheckBox25"/>
      </mc:Fallback>
    </mc:AlternateContent>
    <mc:AlternateContent xmlns:mc="http://schemas.openxmlformats.org/markup-compatibility/2006">
      <mc:Choice Requires="x14">
        <control shapeId="31769" r:id="rId23" name="CheckBox24">
          <controlPr defaultSize="0" autoLine="0" r:id="rId5">
            <anchor>
              <from>
                <xdr:col>12</xdr:col>
                <xdr:colOff>257175</xdr:colOff>
                <xdr:row>16</xdr:row>
                <xdr:rowOff>19050</xdr:rowOff>
              </from>
              <to>
                <xdr:col>12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1769" r:id="rId23" name="CheckBox24"/>
      </mc:Fallback>
    </mc:AlternateContent>
    <mc:AlternateContent xmlns:mc="http://schemas.openxmlformats.org/markup-compatibility/2006">
      <mc:Choice Requires="x14">
        <control shapeId="31768" r:id="rId24" name="CheckBox23">
          <controlPr defaultSize="0" autoLine="0" r:id="rId5">
            <anchor>
              <from>
                <xdr:col>12</xdr:col>
                <xdr:colOff>257175</xdr:colOff>
                <xdr:row>15</xdr:row>
                <xdr:rowOff>28575</xdr:rowOff>
              </from>
              <to>
                <xdr:col>12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1768" r:id="rId24" name="CheckBox23"/>
      </mc:Fallback>
    </mc:AlternateContent>
    <mc:AlternateContent xmlns:mc="http://schemas.openxmlformats.org/markup-compatibility/2006">
      <mc:Choice Requires="x14">
        <control shapeId="31767" r:id="rId25" name="CheckBox22">
          <controlPr defaultSize="0" autoLine="0" r:id="rId5">
            <anchor>
              <from>
                <xdr:col>12</xdr:col>
                <xdr:colOff>257175</xdr:colOff>
                <xdr:row>14</xdr:row>
                <xdr:rowOff>19050</xdr:rowOff>
              </from>
              <to>
                <xdr:col>12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1767" r:id="rId25" name="CheckBox22"/>
      </mc:Fallback>
    </mc:AlternateContent>
    <mc:AlternateContent xmlns:mc="http://schemas.openxmlformats.org/markup-compatibility/2006">
      <mc:Choice Requires="x14">
        <control shapeId="31766" r:id="rId26" name="CheckBox21">
          <controlPr defaultSize="0" autoLine="0" r:id="rId5">
            <anchor>
              <from>
                <xdr:col>12</xdr:col>
                <xdr:colOff>247650</xdr:colOff>
                <xdr:row>9</xdr:row>
                <xdr:rowOff>28575</xdr:rowOff>
              </from>
              <to>
                <xdr:col>12</xdr:col>
                <xdr:colOff>400050</xdr:colOff>
                <xdr:row>10</xdr:row>
                <xdr:rowOff>9525</xdr:rowOff>
              </to>
            </anchor>
          </controlPr>
        </control>
      </mc:Choice>
      <mc:Fallback>
        <control shapeId="31766" r:id="rId26" name="CheckBox21"/>
      </mc:Fallback>
    </mc:AlternateContent>
    <mc:AlternateContent xmlns:mc="http://schemas.openxmlformats.org/markup-compatibility/2006">
      <mc:Choice Requires="x14">
        <control shapeId="31765" r:id="rId27" name="CheckBox20">
          <controlPr defaultSize="0" autoLine="0" r:id="rId5">
            <anchor>
              <from>
                <xdr:col>12</xdr:col>
                <xdr:colOff>247650</xdr:colOff>
                <xdr:row>8</xdr:row>
                <xdr:rowOff>28575</xdr:rowOff>
              </from>
              <to>
                <xdr:col>12</xdr:col>
                <xdr:colOff>400050</xdr:colOff>
                <xdr:row>9</xdr:row>
                <xdr:rowOff>9525</xdr:rowOff>
              </to>
            </anchor>
          </controlPr>
        </control>
      </mc:Choice>
      <mc:Fallback>
        <control shapeId="31765" r:id="rId27" name="CheckBox20"/>
      </mc:Fallback>
    </mc:AlternateContent>
    <mc:AlternateContent xmlns:mc="http://schemas.openxmlformats.org/markup-compatibility/2006">
      <mc:Choice Requires="x14">
        <control shapeId="31764" r:id="rId28" name="CheckBox19">
          <controlPr defaultSize="0" autoLine="0" r:id="rId5">
            <anchor>
              <from>
                <xdr:col>12</xdr:col>
                <xdr:colOff>247650</xdr:colOff>
                <xdr:row>7</xdr:row>
                <xdr:rowOff>28575</xdr:rowOff>
              </from>
              <to>
                <xdr:col>12</xdr:col>
                <xdr:colOff>400050</xdr:colOff>
                <xdr:row>8</xdr:row>
                <xdr:rowOff>9525</xdr:rowOff>
              </to>
            </anchor>
          </controlPr>
        </control>
      </mc:Choice>
      <mc:Fallback>
        <control shapeId="31764" r:id="rId28" name="CheckBox19"/>
      </mc:Fallback>
    </mc:AlternateContent>
    <mc:AlternateContent xmlns:mc="http://schemas.openxmlformats.org/markup-compatibility/2006">
      <mc:Choice Requires="x14">
        <control shapeId="31763" r:id="rId29" name="CheckBox18">
          <controlPr defaultSize="0" autoLine="0" r:id="rId5">
            <anchor>
              <from>
                <xdr:col>12</xdr:col>
                <xdr:colOff>247650</xdr:colOff>
                <xdr:row>6</xdr:row>
                <xdr:rowOff>28575</xdr:rowOff>
              </from>
              <to>
                <xdr:col>12</xdr:col>
                <xdr:colOff>400050</xdr:colOff>
                <xdr:row>7</xdr:row>
                <xdr:rowOff>9525</xdr:rowOff>
              </to>
            </anchor>
          </controlPr>
        </control>
      </mc:Choice>
      <mc:Fallback>
        <control shapeId="31763" r:id="rId29" name="CheckBox18"/>
      </mc:Fallback>
    </mc:AlternateContent>
    <mc:AlternateContent xmlns:mc="http://schemas.openxmlformats.org/markup-compatibility/2006">
      <mc:Choice Requires="x14">
        <control shapeId="31762" r:id="rId30" name="CheckBox17">
          <controlPr defaultSize="0" autoLine="0" r:id="rId5">
            <anchor>
              <from>
                <xdr:col>12</xdr:col>
                <xdr:colOff>247650</xdr:colOff>
                <xdr:row>5</xdr:row>
                <xdr:rowOff>19050</xdr:rowOff>
              </from>
              <to>
                <xdr:col>12</xdr:col>
                <xdr:colOff>400050</xdr:colOff>
                <xdr:row>6</xdr:row>
                <xdr:rowOff>0</xdr:rowOff>
              </to>
            </anchor>
          </controlPr>
        </control>
      </mc:Choice>
      <mc:Fallback>
        <control shapeId="31762" r:id="rId30" name="CheckBox17"/>
      </mc:Fallback>
    </mc:AlternateContent>
    <mc:AlternateContent xmlns:mc="http://schemas.openxmlformats.org/markup-compatibility/2006">
      <mc:Choice Requires="x14">
        <control shapeId="31761" r:id="rId31" name="CheckBox16">
          <controlPr defaultSize="0" autoLine="0" r:id="rId5">
            <anchor>
              <from>
                <xdr:col>12</xdr:col>
                <xdr:colOff>247650</xdr:colOff>
                <xdr:row>4</xdr:row>
                <xdr:rowOff>28575</xdr:rowOff>
              </from>
              <to>
                <xdr:col>12</xdr:col>
                <xdr:colOff>400050</xdr:colOff>
                <xdr:row>5</xdr:row>
                <xdr:rowOff>9525</xdr:rowOff>
              </to>
            </anchor>
          </controlPr>
        </control>
      </mc:Choice>
      <mc:Fallback>
        <control shapeId="31761" r:id="rId31" name="CheckBox16"/>
      </mc:Fallback>
    </mc:AlternateContent>
    <mc:AlternateContent xmlns:mc="http://schemas.openxmlformats.org/markup-compatibility/2006">
      <mc:Choice Requires="x14">
        <control shapeId="31760" r:id="rId32" name="CheckBox15">
          <controlPr defaultSize="0" autoLine="0" r:id="rId5">
            <anchor>
              <from>
                <xdr:col>12</xdr:col>
                <xdr:colOff>247650</xdr:colOff>
                <xdr:row>3</xdr:row>
                <xdr:rowOff>19050</xdr:rowOff>
              </from>
              <to>
                <xdr:col>12</xdr:col>
                <xdr:colOff>400050</xdr:colOff>
                <xdr:row>4</xdr:row>
                <xdr:rowOff>0</xdr:rowOff>
              </to>
            </anchor>
          </controlPr>
        </control>
      </mc:Choice>
      <mc:Fallback>
        <control shapeId="31760" r:id="rId32" name="CheckBox15"/>
      </mc:Fallback>
    </mc:AlternateContent>
    <mc:AlternateContent xmlns:mc="http://schemas.openxmlformats.org/markup-compatibility/2006">
      <mc:Choice Requires="x14">
        <control shapeId="31759" r:id="rId33" name="CheckBox14">
          <controlPr defaultSize="0" autoLine="0" r:id="rId5">
            <anchor>
              <from>
                <xdr:col>11</xdr:col>
                <xdr:colOff>257175</xdr:colOff>
                <xdr:row>9</xdr:row>
                <xdr:rowOff>19050</xdr:rowOff>
              </from>
              <to>
                <xdr:col>11</xdr:col>
                <xdr:colOff>409575</xdr:colOff>
                <xdr:row>10</xdr:row>
                <xdr:rowOff>0</xdr:rowOff>
              </to>
            </anchor>
          </controlPr>
        </control>
      </mc:Choice>
      <mc:Fallback>
        <control shapeId="31759" r:id="rId33" name="CheckBox14"/>
      </mc:Fallback>
    </mc:AlternateContent>
    <mc:AlternateContent xmlns:mc="http://schemas.openxmlformats.org/markup-compatibility/2006">
      <mc:Choice Requires="x14">
        <control shapeId="31758" r:id="rId34" name="CheckBox13">
          <controlPr defaultSize="0" autoLine="0" r:id="rId5">
            <anchor>
              <from>
                <xdr:col>11</xdr:col>
                <xdr:colOff>266700</xdr:colOff>
                <xdr:row>8</xdr:row>
                <xdr:rowOff>28575</xdr:rowOff>
              </from>
              <to>
                <xdr:col>11</xdr:col>
                <xdr:colOff>419100</xdr:colOff>
                <xdr:row>9</xdr:row>
                <xdr:rowOff>9525</xdr:rowOff>
              </to>
            </anchor>
          </controlPr>
        </control>
      </mc:Choice>
      <mc:Fallback>
        <control shapeId="31758" r:id="rId34" name="CheckBox13"/>
      </mc:Fallback>
    </mc:AlternateContent>
    <mc:AlternateContent xmlns:mc="http://schemas.openxmlformats.org/markup-compatibility/2006">
      <mc:Choice Requires="x14">
        <control shapeId="31757" r:id="rId35" name="CheckBox12">
          <controlPr defaultSize="0" autoLine="0" r:id="rId5">
            <anchor>
              <from>
                <xdr:col>11</xdr:col>
                <xdr:colOff>266700</xdr:colOff>
                <xdr:row>7</xdr:row>
                <xdr:rowOff>28575</xdr:rowOff>
              </from>
              <to>
                <xdr:col>11</xdr:col>
                <xdr:colOff>419100</xdr:colOff>
                <xdr:row>8</xdr:row>
                <xdr:rowOff>9525</xdr:rowOff>
              </to>
            </anchor>
          </controlPr>
        </control>
      </mc:Choice>
      <mc:Fallback>
        <control shapeId="31757" r:id="rId35" name="CheckBox12"/>
      </mc:Fallback>
    </mc:AlternateContent>
    <mc:AlternateContent xmlns:mc="http://schemas.openxmlformats.org/markup-compatibility/2006">
      <mc:Choice Requires="x14">
        <control shapeId="31756" r:id="rId36" name="CheckBox11">
          <controlPr defaultSize="0" autoLine="0" r:id="rId5">
            <anchor>
              <from>
                <xdr:col>11</xdr:col>
                <xdr:colOff>266700</xdr:colOff>
                <xdr:row>6</xdr:row>
                <xdr:rowOff>28575</xdr:rowOff>
              </from>
              <to>
                <xdr:col>11</xdr:col>
                <xdr:colOff>419100</xdr:colOff>
                <xdr:row>7</xdr:row>
                <xdr:rowOff>9525</xdr:rowOff>
              </to>
            </anchor>
          </controlPr>
        </control>
      </mc:Choice>
      <mc:Fallback>
        <control shapeId="31756" r:id="rId36" name="CheckBox11"/>
      </mc:Fallback>
    </mc:AlternateContent>
    <mc:AlternateContent xmlns:mc="http://schemas.openxmlformats.org/markup-compatibility/2006">
      <mc:Choice Requires="x14">
        <control shapeId="31755" r:id="rId37" name="CheckBox10">
          <controlPr defaultSize="0" autoLine="0" r:id="rId5">
            <anchor>
              <from>
                <xdr:col>11</xdr:col>
                <xdr:colOff>266700</xdr:colOff>
                <xdr:row>5</xdr:row>
                <xdr:rowOff>19050</xdr:rowOff>
              </from>
              <to>
                <xdr:col>11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31755" r:id="rId37" name="CheckBox10"/>
      </mc:Fallback>
    </mc:AlternateContent>
    <mc:AlternateContent xmlns:mc="http://schemas.openxmlformats.org/markup-compatibility/2006">
      <mc:Choice Requires="x14">
        <control shapeId="31754" r:id="rId38" name="CheckBox9">
          <controlPr defaultSize="0" autoLine="0" r:id="rId5">
            <anchor>
              <from>
                <xdr:col>11</xdr:col>
                <xdr:colOff>266700</xdr:colOff>
                <xdr:row>4</xdr:row>
                <xdr:rowOff>28575</xdr:rowOff>
              </from>
              <to>
                <xdr:col>11</xdr:col>
                <xdr:colOff>419100</xdr:colOff>
                <xdr:row>5</xdr:row>
                <xdr:rowOff>9525</xdr:rowOff>
              </to>
            </anchor>
          </controlPr>
        </control>
      </mc:Choice>
      <mc:Fallback>
        <control shapeId="31754" r:id="rId38" name="CheckBox9"/>
      </mc:Fallback>
    </mc:AlternateContent>
    <mc:AlternateContent xmlns:mc="http://schemas.openxmlformats.org/markup-compatibility/2006">
      <mc:Choice Requires="x14">
        <control shapeId="31753" r:id="rId39" name="CheckBox8">
          <controlPr defaultSize="0" autoLine="0" r:id="rId5">
            <anchor>
              <from>
                <xdr:col>11</xdr:col>
                <xdr:colOff>266700</xdr:colOff>
                <xdr:row>3</xdr:row>
                <xdr:rowOff>19050</xdr:rowOff>
              </from>
              <to>
                <xdr:col>11</xdr:col>
                <xdr:colOff>419100</xdr:colOff>
                <xdr:row>4</xdr:row>
                <xdr:rowOff>0</xdr:rowOff>
              </to>
            </anchor>
          </controlPr>
        </control>
      </mc:Choice>
      <mc:Fallback>
        <control shapeId="31753" r:id="rId39" name="CheckBox8"/>
      </mc:Fallback>
    </mc:AlternateContent>
    <mc:AlternateContent xmlns:mc="http://schemas.openxmlformats.org/markup-compatibility/2006">
      <mc:Choice Requires="x14">
        <control shapeId="31752" r:id="rId40" name="CheckBox7">
          <controlPr defaultSize="0" autoLine="0" r:id="rId5">
            <anchor>
              <from>
                <xdr:col>13</xdr:col>
                <xdr:colOff>219075</xdr:colOff>
                <xdr:row>9</xdr:row>
                <xdr:rowOff>28575</xdr:rowOff>
              </from>
              <to>
                <xdr:col>13</xdr:col>
                <xdr:colOff>371475</xdr:colOff>
                <xdr:row>10</xdr:row>
                <xdr:rowOff>9525</xdr:rowOff>
              </to>
            </anchor>
          </controlPr>
        </control>
      </mc:Choice>
      <mc:Fallback>
        <control shapeId="31752" r:id="rId40" name="CheckBox7"/>
      </mc:Fallback>
    </mc:AlternateContent>
    <mc:AlternateContent xmlns:mc="http://schemas.openxmlformats.org/markup-compatibility/2006">
      <mc:Choice Requires="x14">
        <control shapeId="31751" r:id="rId41" name="CheckBox6">
          <controlPr defaultSize="0" autoLine="0" r:id="rId5">
            <anchor>
              <from>
                <xdr:col>13</xdr:col>
                <xdr:colOff>228600</xdr:colOff>
                <xdr:row>8</xdr:row>
                <xdr:rowOff>28575</xdr:rowOff>
              </from>
              <to>
                <xdr:col>13</xdr:col>
                <xdr:colOff>381000</xdr:colOff>
                <xdr:row>9</xdr:row>
                <xdr:rowOff>9525</xdr:rowOff>
              </to>
            </anchor>
          </controlPr>
        </control>
      </mc:Choice>
      <mc:Fallback>
        <control shapeId="31751" r:id="rId41" name="CheckBox6"/>
      </mc:Fallback>
    </mc:AlternateContent>
    <mc:AlternateContent xmlns:mc="http://schemas.openxmlformats.org/markup-compatibility/2006">
      <mc:Choice Requires="x14">
        <control shapeId="31750" r:id="rId42" name="CheckBox5">
          <controlPr defaultSize="0" autoLine="0" r:id="rId5">
            <anchor>
              <from>
                <xdr:col>13</xdr:col>
                <xdr:colOff>228600</xdr:colOff>
                <xdr:row>7</xdr:row>
                <xdr:rowOff>19050</xdr:rowOff>
              </from>
              <to>
                <xdr:col>13</xdr:col>
                <xdr:colOff>381000</xdr:colOff>
                <xdr:row>8</xdr:row>
                <xdr:rowOff>0</xdr:rowOff>
              </to>
            </anchor>
          </controlPr>
        </control>
      </mc:Choice>
      <mc:Fallback>
        <control shapeId="31750" r:id="rId42" name="CheckBox5"/>
      </mc:Fallback>
    </mc:AlternateContent>
    <mc:AlternateContent xmlns:mc="http://schemas.openxmlformats.org/markup-compatibility/2006">
      <mc:Choice Requires="x14">
        <control shapeId="31749" r:id="rId43" name="CheckBox4">
          <controlPr defaultSize="0" autoLine="0" r:id="rId5">
            <anchor>
              <from>
                <xdr:col>13</xdr:col>
                <xdr:colOff>228600</xdr:colOff>
                <xdr:row>6</xdr:row>
                <xdr:rowOff>28575</xdr:rowOff>
              </from>
              <to>
                <xdr:col>13</xdr:col>
                <xdr:colOff>381000</xdr:colOff>
                <xdr:row>7</xdr:row>
                <xdr:rowOff>9525</xdr:rowOff>
              </to>
            </anchor>
          </controlPr>
        </control>
      </mc:Choice>
      <mc:Fallback>
        <control shapeId="31749" r:id="rId43" name="CheckBox4"/>
      </mc:Fallback>
    </mc:AlternateContent>
    <mc:AlternateContent xmlns:mc="http://schemas.openxmlformats.org/markup-compatibility/2006">
      <mc:Choice Requires="x14">
        <control shapeId="31748" r:id="rId44" name="CheckBox3">
          <controlPr defaultSize="0" autoLine="0" r:id="rId5">
            <anchor>
              <from>
                <xdr:col>13</xdr:col>
                <xdr:colOff>228600</xdr:colOff>
                <xdr:row>5</xdr:row>
                <xdr:rowOff>19050</xdr:rowOff>
              </from>
              <to>
                <xdr:col>13</xdr:col>
                <xdr:colOff>381000</xdr:colOff>
                <xdr:row>6</xdr:row>
                <xdr:rowOff>0</xdr:rowOff>
              </to>
            </anchor>
          </controlPr>
        </control>
      </mc:Choice>
      <mc:Fallback>
        <control shapeId="31748" r:id="rId44" name="CheckBox3"/>
      </mc:Fallback>
    </mc:AlternateContent>
    <mc:AlternateContent xmlns:mc="http://schemas.openxmlformats.org/markup-compatibility/2006">
      <mc:Choice Requires="x14">
        <control shapeId="31747" r:id="rId45" name="CheckBox2">
          <controlPr defaultSize="0" autoLine="0" r:id="rId5">
            <anchor>
              <from>
                <xdr:col>13</xdr:col>
                <xdr:colOff>219075</xdr:colOff>
                <xdr:row>4</xdr:row>
                <xdr:rowOff>28575</xdr:rowOff>
              </from>
              <to>
                <xdr:col>13</xdr:col>
                <xdr:colOff>371475</xdr:colOff>
                <xdr:row>5</xdr:row>
                <xdr:rowOff>9525</xdr:rowOff>
              </to>
            </anchor>
          </controlPr>
        </control>
      </mc:Choice>
      <mc:Fallback>
        <control shapeId="31747" r:id="rId45" name="CheckBox2"/>
      </mc:Fallback>
    </mc:AlternateContent>
    <mc:AlternateContent xmlns:mc="http://schemas.openxmlformats.org/markup-compatibility/2006">
      <mc:Choice Requires="x14">
        <control shapeId="31746" r:id="rId46" name="CheckBox1">
          <controlPr defaultSize="0" autoLine="0" r:id="rId5">
            <anchor>
              <from>
                <xdr:col>13</xdr:col>
                <xdr:colOff>219075</xdr:colOff>
                <xdr:row>3</xdr:row>
                <xdr:rowOff>28575</xdr:rowOff>
              </from>
              <to>
                <xdr:col>13</xdr:col>
                <xdr:colOff>371475</xdr:colOff>
                <xdr:row>4</xdr:row>
                <xdr:rowOff>9525</xdr:rowOff>
              </to>
            </anchor>
          </controlPr>
        </control>
      </mc:Choice>
      <mc:Fallback>
        <control shapeId="31746" r:id="rId46" name="CheckBox1"/>
      </mc:Fallback>
    </mc:AlternateContent>
    <mc:AlternateContent xmlns:mc="http://schemas.openxmlformats.org/markup-compatibility/2006">
      <mc:Choice Requires="x14">
        <control shapeId="31745" r:id="rId47" name="CopyNClearButton">
          <controlPr locked="0" defaultSize="0" print="0" autoLine="0" r:id="rId48">
            <anchor moveWithCells="1">
              <from>
                <xdr:col>14</xdr:col>
                <xdr:colOff>133350</xdr:colOff>
                <xdr:row>1</xdr:row>
                <xdr:rowOff>180975</xdr:rowOff>
              </from>
              <to>
                <xdr:col>16</xdr:col>
                <xdr:colOff>514350</xdr:colOff>
                <xdr:row>2</xdr:row>
                <xdr:rowOff>285750</xdr:rowOff>
              </to>
            </anchor>
          </controlPr>
        </control>
      </mc:Choice>
      <mc:Fallback>
        <control shapeId="31745" r:id="rId47" name="CopyNClear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30C34-D9B5-4A12-8E48-EE7482878938}">
  <sheetPr codeName="Sheet3"/>
  <dimension ref="A1:Q36"/>
  <sheetViews>
    <sheetView showGridLines="0" zoomScaleNormal="100" workbookViewId="0">
      <pane ySplit="3" topLeftCell="A4" activePane="bottomLeft" state="frozen"/>
      <selection pane="bottomLeft" activeCell="T1" sqref="T1"/>
    </sheetView>
  </sheetViews>
  <sheetFormatPr defaultRowHeight="15" x14ac:dyDescent="0.25"/>
  <cols>
    <col min="1" max="2" width="11.140625" customWidth="1"/>
    <col min="3" max="4" width="9.5703125" customWidth="1"/>
    <col min="5" max="5" width="5.5703125" bestFit="1" customWidth="1"/>
    <col min="6" max="7" width="9.5703125" customWidth="1"/>
    <col min="8" max="8" width="4.5703125" customWidth="1"/>
    <col min="9" max="13" width="9.5703125" customWidth="1"/>
    <col min="14" max="14" width="9" customWidth="1"/>
    <col min="15" max="15" width="12" customWidth="1"/>
    <col min="17" max="17" width="12.5703125" customWidth="1"/>
  </cols>
  <sheetData>
    <row r="1" spans="1:17" ht="18" x14ac:dyDescent="0.25">
      <c r="A1" s="18" t="s">
        <v>0</v>
      </c>
      <c r="B1" s="68"/>
      <c r="C1" s="68"/>
      <c r="D1" s="68"/>
      <c r="E1" s="68"/>
      <c r="F1" s="68"/>
      <c r="G1" s="69" t="s">
        <v>1</v>
      </c>
      <c r="H1" s="69"/>
      <c r="Q1" s="59" t="s">
        <v>32</v>
      </c>
    </row>
    <row r="2" spans="1:17" x14ac:dyDescent="0.25">
      <c r="A2" s="70" t="s">
        <v>2</v>
      </c>
      <c r="B2" s="70"/>
      <c r="C2" s="71">
        <v>44598</v>
      </c>
      <c r="D2" s="71"/>
      <c r="E2" s="14"/>
      <c r="F2" s="14"/>
    </row>
    <row r="3" spans="1:17" ht="28.5" x14ac:dyDescent="0.25">
      <c r="A3" s="7" t="s">
        <v>3</v>
      </c>
      <c r="B3" s="7" t="s">
        <v>4</v>
      </c>
      <c r="C3" s="10" t="s">
        <v>5</v>
      </c>
      <c r="D3" s="10" t="s">
        <v>6</v>
      </c>
      <c r="E3" s="7" t="s">
        <v>7</v>
      </c>
      <c r="F3" s="8" t="s">
        <v>8</v>
      </c>
      <c r="G3" s="27" t="s">
        <v>9</v>
      </c>
      <c r="H3" s="57"/>
      <c r="I3" s="28" t="s">
        <v>10</v>
      </c>
      <c r="J3" s="9" t="s">
        <v>11</v>
      </c>
      <c r="K3" s="9" t="s">
        <v>12</v>
      </c>
      <c r="L3" s="9" t="s">
        <v>13</v>
      </c>
      <c r="M3" s="9" t="s">
        <v>14</v>
      </c>
    </row>
    <row r="4" spans="1:17" x14ac:dyDescent="0.25">
      <c r="A4" s="25" t="s">
        <v>15</v>
      </c>
      <c r="B4" s="46">
        <f>C2</f>
        <v>44598</v>
      </c>
      <c r="C4" s="33"/>
      <c r="D4" s="31"/>
      <c r="E4" s="11"/>
      <c r="F4" s="32"/>
      <c r="G4" s="31"/>
      <c r="H4" s="15"/>
      <c r="I4" s="35">
        <f>((TIME(HOUR(D4),MINUTE(D4),SECOND(D4))-(TIME(HOUR(C4),MINUTE(C4),SECOND(C4))))+(TIME(HOUR(G4),MINUTE(G4),SECOND(G4))-(TIME(HOUR(F4),MINUTE(F4),SECOND(F4)))))*24</f>
        <v>0</v>
      </c>
      <c r="J4" s="34"/>
      <c r="K4" s="16"/>
      <c r="L4" s="17"/>
      <c r="M4" s="16"/>
    </row>
    <row r="5" spans="1:17" x14ac:dyDescent="0.25">
      <c r="A5" s="25" t="s">
        <v>16</v>
      </c>
      <c r="B5" s="46">
        <f>B4+1</f>
        <v>44599</v>
      </c>
      <c r="C5" s="33"/>
      <c r="D5" s="31"/>
      <c r="E5" s="11"/>
      <c r="F5" s="32"/>
      <c r="G5" s="31"/>
      <c r="H5" s="2"/>
      <c r="I5" s="35">
        <f>((TIME(HOUR(D5),MINUTE(D5),SECOND(D5))-(TIME(HOUR(C5),MINUTE(C5),SECOND(C5))))+(TIME(HOUR(G5),MINUTE(G5),SECOND(G5))-(TIME(HOUR(F5),MINUTE(F5),SECOND(F5)))))*24</f>
        <v>0</v>
      </c>
      <c r="J5" s="34"/>
      <c r="K5" s="16"/>
      <c r="L5" s="17"/>
      <c r="M5" s="16"/>
      <c r="O5" s="53"/>
    </row>
    <row r="6" spans="1:17" x14ac:dyDescent="0.25">
      <c r="A6" s="25" t="s">
        <v>17</v>
      </c>
      <c r="B6" s="46">
        <f t="shared" ref="B6:B10" si="0">B5+1</f>
        <v>44600</v>
      </c>
      <c r="C6" s="33"/>
      <c r="D6" s="31"/>
      <c r="E6" s="11"/>
      <c r="F6" s="32"/>
      <c r="G6" s="31"/>
      <c r="H6" s="2"/>
      <c r="I6" s="35">
        <f t="shared" ref="I6:I10" si="1">((TIME(HOUR(D6),MINUTE(D6),SECOND(D6))-(TIME(HOUR(C6),MINUTE(C6),SECOND(C6))))+(TIME(HOUR(G6),MINUTE(G6),SECOND(G6))-(TIME(HOUR(F6),MINUTE(F6),SECOND(F6)))))*24</f>
        <v>0</v>
      </c>
      <c r="J6" s="34"/>
      <c r="K6" s="16"/>
      <c r="L6" s="17"/>
      <c r="M6" s="16"/>
    </row>
    <row r="7" spans="1:17" x14ac:dyDescent="0.25">
      <c r="A7" s="25" t="s">
        <v>18</v>
      </c>
      <c r="B7" s="46">
        <f t="shared" si="0"/>
        <v>44601</v>
      </c>
      <c r="C7" s="33"/>
      <c r="D7" s="31"/>
      <c r="E7" s="11"/>
      <c r="F7" s="32"/>
      <c r="G7" s="31"/>
      <c r="H7" s="2"/>
      <c r="I7" s="35">
        <f t="shared" si="1"/>
        <v>0</v>
      </c>
      <c r="J7" s="34"/>
      <c r="K7" s="16"/>
      <c r="L7" s="17"/>
      <c r="M7" s="16"/>
    </row>
    <row r="8" spans="1:17" x14ac:dyDescent="0.25">
      <c r="A8" s="25" t="s">
        <v>19</v>
      </c>
      <c r="B8" s="46">
        <f t="shared" si="0"/>
        <v>44602</v>
      </c>
      <c r="C8" s="33"/>
      <c r="D8" s="31"/>
      <c r="E8" s="11"/>
      <c r="F8" s="32"/>
      <c r="G8" s="31"/>
      <c r="H8" s="2"/>
      <c r="I8" s="35">
        <f>((TIME(HOUR(D8),MINUTE(D8),SECOND(D8))-(TIME(HOUR(C8),MINUTE(C8),SECOND(C8))))+(TIME(HOUR(G8),MINUTE(G8),SECOND(G8))-(TIME(HOUR(F8),MINUTE(F8),SECOND(F8)))))*24</f>
        <v>0</v>
      </c>
      <c r="J8" s="34"/>
      <c r="K8" s="13"/>
      <c r="L8" s="17"/>
      <c r="M8" s="16"/>
    </row>
    <row r="9" spans="1:17" x14ac:dyDescent="0.25">
      <c r="A9" s="25" t="s">
        <v>20</v>
      </c>
      <c r="B9" s="46">
        <f t="shared" si="0"/>
        <v>44603</v>
      </c>
      <c r="C9" s="33"/>
      <c r="D9" s="31"/>
      <c r="E9" s="11"/>
      <c r="F9" s="32"/>
      <c r="G9" s="31"/>
      <c r="H9" s="2"/>
      <c r="I9" s="35">
        <f t="shared" si="1"/>
        <v>0</v>
      </c>
      <c r="J9" s="34"/>
      <c r="K9" s="13"/>
      <c r="L9" s="17"/>
      <c r="M9" s="16"/>
    </row>
    <row r="10" spans="1:17" x14ac:dyDescent="0.25">
      <c r="A10" s="25" t="s">
        <v>21</v>
      </c>
      <c r="B10" s="46">
        <f t="shared" si="0"/>
        <v>44604</v>
      </c>
      <c r="C10" s="33"/>
      <c r="D10" s="31"/>
      <c r="E10" s="11"/>
      <c r="F10" s="32"/>
      <c r="G10" s="31"/>
      <c r="H10" s="3"/>
      <c r="I10" s="35">
        <f t="shared" si="1"/>
        <v>0</v>
      </c>
      <c r="J10" s="34"/>
      <c r="K10" s="13"/>
      <c r="L10" s="21"/>
      <c r="M10" s="16"/>
    </row>
    <row r="11" spans="1:17" x14ac:dyDescent="0.25">
      <c r="A11" s="1"/>
      <c r="B11" s="1"/>
      <c r="C11" s="1"/>
      <c r="D11" s="1"/>
      <c r="E11" s="1"/>
      <c r="F11" s="1"/>
      <c r="G11" s="72" t="s">
        <v>22</v>
      </c>
      <c r="H11" s="72"/>
      <c r="I11" s="36">
        <f>SUM(I4:I10)</f>
        <v>0</v>
      </c>
      <c r="J11" s="39">
        <f>SUM(J4:J10)</f>
        <v>0</v>
      </c>
      <c r="K11" s="19"/>
      <c r="L11" s="29"/>
      <c r="M11" s="20"/>
    </row>
    <row r="12" spans="1:17" x14ac:dyDescent="0.25">
      <c r="A12" s="1"/>
      <c r="B12" s="1"/>
      <c r="C12" s="1"/>
      <c r="D12" s="1"/>
      <c r="E12" s="1"/>
      <c r="F12" s="1"/>
      <c r="G12" s="62" t="s">
        <v>23</v>
      </c>
      <c r="H12" s="62"/>
      <c r="I12" s="37">
        <f>IF(I11&gt;40,40,I11)</f>
        <v>0</v>
      </c>
      <c r="J12" s="1"/>
      <c r="K12" s="1"/>
      <c r="L12" s="1"/>
      <c r="M12" s="1"/>
    </row>
    <row r="13" spans="1:17" x14ac:dyDescent="0.25">
      <c r="A13" s="1"/>
      <c r="B13" s="1"/>
      <c r="C13" s="1"/>
      <c r="D13" s="1"/>
      <c r="E13" s="1"/>
      <c r="F13" s="1"/>
      <c r="G13" s="62" t="s">
        <v>24</v>
      </c>
      <c r="H13" s="62"/>
      <c r="I13" s="38">
        <f>IF(I11&gt;40,I11-40,0)</f>
        <v>0</v>
      </c>
      <c r="J13" s="1"/>
      <c r="K13" s="1"/>
      <c r="L13" s="1"/>
      <c r="M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7" x14ac:dyDescent="0.25">
      <c r="A15" s="26" t="s">
        <v>15</v>
      </c>
      <c r="B15" s="45">
        <f>B10+1</f>
        <v>44605</v>
      </c>
      <c r="C15" s="33"/>
      <c r="D15" s="31"/>
      <c r="E15" s="12"/>
      <c r="F15" s="32"/>
      <c r="G15" s="31"/>
      <c r="H15" s="15"/>
      <c r="I15" s="40">
        <f>((TIME(HOUR(D15),MINUTE(D15),SECOND(D15))-(TIME(HOUR(C15),MINUTE(C15),SECOND(C15))))+(TIME(HOUR(G15),MINUTE(G15),SECOND(G15))-(TIME(HOUR(F15),MINUTE(F15),SECOND(F15)))))*24</f>
        <v>0</v>
      </c>
      <c r="J15" s="34"/>
      <c r="K15" s="16"/>
      <c r="L15" s="17"/>
      <c r="M15" s="16"/>
    </row>
    <row r="16" spans="1:17" x14ac:dyDescent="0.25">
      <c r="A16" s="26" t="s">
        <v>16</v>
      </c>
      <c r="B16" s="45">
        <f>B15+1</f>
        <v>44606</v>
      </c>
      <c r="C16" s="33"/>
      <c r="D16" s="31"/>
      <c r="E16" s="12"/>
      <c r="F16" s="32"/>
      <c r="G16" s="31"/>
      <c r="H16" s="2"/>
      <c r="I16" s="40">
        <f>((TIME(HOUR(D16),MINUTE(D16),SECOND(D16))-(TIME(HOUR(C16),MINUTE(C16),SECOND(C16))))+(TIME(HOUR(G16),MINUTE(G16),SECOND(G16))-(TIME(HOUR(F16),MINUTE(F16),SECOND(F16)))))*24</f>
        <v>0</v>
      </c>
      <c r="J16" s="34"/>
      <c r="K16" s="16"/>
      <c r="L16" s="17"/>
      <c r="M16" s="16"/>
    </row>
    <row r="17" spans="1:17" x14ac:dyDescent="0.25">
      <c r="A17" s="26" t="s">
        <v>17</v>
      </c>
      <c r="B17" s="45">
        <f t="shared" ref="B17:B21" si="2">B16+1</f>
        <v>44607</v>
      </c>
      <c r="C17" s="33"/>
      <c r="D17" s="31"/>
      <c r="E17" s="12"/>
      <c r="F17" s="32"/>
      <c r="G17" s="31"/>
      <c r="H17" s="2"/>
      <c r="I17" s="40">
        <f>((TIME(HOUR(D17),MINUTE(D17),SECOND(D17))-(TIME(HOUR(C17),MINUTE(C17),SECOND(C17))))+(TIME(HOUR(G17),MINUTE(G17),SECOND(G17))-(TIME(HOUR(F17),MINUTE(F17),SECOND(F17)))))*24</f>
        <v>0</v>
      </c>
      <c r="J17" s="34"/>
      <c r="K17" s="16"/>
      <c r="L17" s="17"/>
      <c r="M17" s="16"/>
    </row>
    <row r="18" spans="1:17" x14ac:dyDescent="0.25">
      <c r="A18" s="26" t="s">
        <v>18</v>
      </c>
      <c r="B18" s="45">
        <f t="shared" si="2"/>
        <v>44608</v>
      </c>
      <c r="C18" s="33"/>
      <c r="D18" s="31"/>
      <c r="E18" s="12"/>
      <c r="F18" s="32"/>
      <c r="G18" s="31"/>
      <c r="H18" s="2"/>
      <c r="I18" s="40">
        <f t="shared" ref="I18:I21" si="3">((TIME(HOUR(D18),MINUTE(D18),SECOND(D18))-(TIME(HOUR(C18),MINUTE(C18),SECOND(C18))))+(TIME(HOUR(G18),MINUTE(G18),SECOND(G18))-(TIME(HOUR(F18),MINUTE(F18),SECOND(F18)))))*24</f>
        <v>0</v>
      </c>
      <c r="J18" s="34"/>
      <c r="K18" s="16"/>
      <c r="L18" s="17"/>
      <c r="M18" s="16"/>
    </row>
    <row r="19" spans="1:17" x14ac:dyDescent="0.25">
      <c r="A19" s="26" t="s">
        <v>19</v>
      </c>
      <c r="B19" s="45">
        <f t="shared" si="2"/>
        <v>44609</v>
      </c>
      <c r="C19" s="33"/>
      <c r="D19" s="31"/>
      <c r="E19" s="12"/>
      <c r="F19" s="32"/>
      <c r="G19" s="31"/>
      <c r="H19" s="2"/>
      <c r="I19" s="40">
        <f t="shared" si="3"/>
        <v>0</v>
      </c>
      <c r="J19" s="34"/>
      <c r="K19" s="16"/>
      <c r="L19" s="17"/>
      <c r="M19" s="16"/>
    </row>
    <row r="20" spans="1:17" x14ac:dyDescent="0.25">
      <c r="A20" s="26" t="s">
        <v>20</v>
      </c>
      <c r="B20" s="45">
        <f t="shared" si="2"/>
        <v>44610</v>
      </c>
      <c r="C20" s="33"/>
      <c r="D20" s="31"/>
      <c r="E20" s="12"/>
      <c r="F20" s="32"/>
      <c r="G20" s="31"/>
      <c r="H20" s="2"/>
      <c r="I20" s="40">
        <f t="shared" si="3"/>
        <v>0</v>
      </c>
      <c r="J20" s="34"/>
      <c r="K20" s="16"/>
      <c r="L20" s="17"/>
      <c r="M20" s="16"/>
    </row>
    <row r="21" spans="1:17" x14ac:dyDescent="0.25">
      <c r="A21" s="26" t="s">
        <v>21</v>
      </c>
      <c r="B21" s="45">
        <f t="shared" si="2"/>
        <v>44611</v>
      </c>
      <c r="C21" s="33"/>
      <c r="D21" s="31"/>
      <c r="E21" s="12"/>
      <c r="F21" s="32"/>
      <c r="G21" s="31"/>
      <c r="H21" s="4"/>
      <c r="I21" s="40">
        <f t="shared" si="3"/>
        <v>0</v>
      </c>
      <c r="J21" s="34"/>
      <c r="K21" s="16"/>
      <c r="L21" s="21"/>
      <c r="M21" s="16"/>
    </row>
    <row r="22" spans="1:17" x14ac:dyDescent="0.25">
      <c r="A22" s="1"/>
      <c r="B22" s="1"/>
      <c r="C22" s="1"/>
      <c r="D22" s="1"/>
      <c r="E22" s="1"/>
      <c r="F22" s="1"/>
      <c r="G22" s="72" t="s">
        <v>22</v>
      </c>
      <c r="H22" s="73"/>
      <c r="I22" s="41">
        <f>SUM(I15:I21)</f>
        <v>0</v>
      </c>
      <c r="J22" s="44">
        <f>SUM(J15:J21)</f>
        <v>0</v>
      </c>
      <c r="K22" s="22"/>
      <c r="L22" s="30"/>
      <c r="M22" s="23"/>
    </row>
    <row r="23" spans="1:17" x14ac:dyDescent="0.25">
      <c r="A23" s="1"/>
      <c r="B23" s="1"/>
      <c r="C23" s="1"/>
      <c r="D23" s="1"/>
      <c r="E23" s="1"/>
      <c r="F23" s="1"/>
      <c r="G23" s="62" t="s">
        <v>23</v>
      </c>
      <c r="H23" s="74"/>
      <c r="I23" s="42">
        <f>IF(I22&gt;40,40,I22)</f>
        <v>0</v>
      </c>
      <c r="J23" s="1"/>
      <c r="K23" s="1"/>
      <c r="L23" s="1"/>
      <c r="M23" s="1"/>
    </row>
    <row r="24" spans="1:17" x14ac:dyDescent="0.25">
      <c r="A24" s="1"/>
      <c r="B24" s="1"/>
      <c r="C24" s="1"/>
      <c r="D24" s="1"/>
      <c r="E24" s="1"/>
      <c r="F24" s="1"/>
      <c r="G24" s="62" t="s">
        <v>24</v>
      </c>
      <c r="H24" s="62"/>
      <c r="I24" s="43">
        <f>IF(I22&gt;40,I22-40,0)</f>
        <v>0</v>
      </c>
      <c r="J24" s="24"/>
      <c r="K24" s="1"/>
      <c r="L24" s="1"/>
      <c r="M24" s="1"/>
    </row>
    <row r="25" spans="1:17" x14ac:dyDescent="0.25">
      <c r="A25" s="1"/>
      <c r="B25" s="1"/>
      <c r="C25" s="1"/>
      <c r="D25" s="1"/>
      <c r="E25" s="1"/>
      <c r="F25" s="1"/>
      <c r="G25" s="1"/>
      <c r="H25" s="1"/>
      <c r="I25" s="48"/>
      <c r="J25" s="1"/>
      <c r="K25" s="1"/>
      <c r="L25" s="1"/>
      <c r="M25" s="1"/>
      <c r="Q25" s="53"/>
    </row>
    <row r="26" spans="1:17" x14ac:dyDescent="0.25">
      <c r="A26" s="1"/>
      <c r="B26" s="1"/>
      <c r="C26" s="1"/>
      <c r="D26" s="1"/>
      <c r="E26" s="1"/>
      <c r="F26" s="1"/>
      <c r="G26" s="62" t="s">
        <v>25</v>
      </c>
      <c r="H26" s="63"/>
      <c r="I26" s="49">
        <f>(I12+I23)</f>
        <v>0</v>
      </c>
      <c r="J26" s="1"/>
      <c r="K26" s="1"/>
      <c r="L26" s="1"/>
      <c r="M26" s="1"/>
    </row>
    <row r="27" spans="1:17" x14ac:dyDescent="0.25">
      <c r="A27" s="1"/>
      <c r="B27" s="1"/>
      <c r="C27" s="1"/>
      <c r="D27" s="1"/>
      <c r="E27" s="1"/>
      <c r="F27" s="1"/>
      <c r="G27" s="62" t="s">
        <v>26</v>
      </c>
      <c r="H27" s="63"/>
      <c r="I27" s="50">
        <f>(J11+J22)*17</f>
        <v>0</v>
      </c>
      <c r="J27" s="1"/>
      <c r="K27" s="1"/>
      <c r="L27" s="1"/>
      <c r="M27" s="1"/>
    </row>
    <row r="28" spans="1:17" x14ac:dyDescent="0.25">
      <c r="A28" s="1"/>
      <c r="B28" s="1"/>
      <c r="C28" s="1"/>
      <c r="D28" s="1"/>
      <c r="E28" s="1"/>
      <c r="F28" s="1"/>
      <c r="G28" s="62" t="s">
        <v>27</v>
      </c>
      <c r="H28" s="63"/>
      <c r="I28" s="51">
        <f>(I13+I24)</f>
        <v>0</v>
      </c>
      <c r="J28" s="47"/>
      <c r="K28" s="1"/>
      <c r="L28" s="1"/>
      <c r="M28" s="1"/>
    </row>
    <row r="29" spans="1:17" x14ac:dyDescent="0.25">
      <c r="A29" s="1"/>
      <c r="B29" s="1"/>
      <c r="C29" s="1"/>
      <c r="D29" s="1"/>
      <c r="E29" s="1"/>
      <c r="F29" s="1"/>
      <c r="G29" s="62" t="s">
        <v>28</v>
      </c>
      <c r="H29" s="62"/>
      <c r="I29" s="54"/>
      <c r="J29" s="24"/>
      <c r="K29" s="1"/>
      <c r="L29" s="1"/>
      <c r="M29" s="1"/>
    </row>
    <row r="30" spans="1:17" x14ac:dyDescent="0.25">
      <c r="A30" s="1"/>
      <c r="B30" s="1"/>
      <c r="C30" s="1"/>
      <c r="D30" s="1"/>
      <c r="E30" s="1"/>
      <c r="G30" s="62" t="s">
        <v>29</v>
      </c>
      <c r="H30" s="62"/>
      <c r="I30" s="55"/>
      <c r="L30" s="1"/>
      <c r="M30" s="1"/>
    </row>
    <row r="31" spans="1:17" x14ac:dyDescent="0.25">
      <c r="A31" s="1"/>
      <c r="B31" s="1"/>
      <c r="C31" s="1"/>
      <c r="D31" s="1"/>
      <c r="E31" s="1"/>
      <c r="G31" s="62" t="s">
        <v>30</v>
      </c>
      <c r="H31" s="62"/>
      <c r="I31" s="55"/>
      <c r="L31" s="1"/>
      <c r="M31" s="1"/>
    </row>
    <row r="32" spans="1:17" x14ac:dyDescent="0.25">
      <c r="A32" s="1"/>
      <c r="B32" s="1"/>
      <c r="C32" s="1"/>
      <c r="D32" s="1"/>
      <c r="E32" s="1"/>
      <c r="F32" s="1"/>
      <c r="G32" s="64"/>
      <c r="H32" s="65"/>
      <c r="I32" s="52"/>
      <c r="J32" s="5"/>
      <c r="K32" s="5"/>
      <c r="L32" s="1"/>
      <c r="M32" s="1"/>
    </row>
    <row r="35" spans="6:11" x14ac:dyDescent="0.25">
      <c r="F35" s="66"/>
      <c r="G35" s="66"/>
      <c r="H35" s="66"/>
      <c r="I35" s="66"/>
      <c r="J35" s="67"/>
      <c r="K35" s="6"/>
    </row>
    <row r="36" spans="6:11" x14ac:dyDescent="0.25">
      <c r="F36" s="60" t="s">
        <v>31</v>
      </c>
      <c r="G36" s="60"/>
      <c r="H36" s="60"/>
      <c r="I36" s="60"/>
      <c r="J36" s="61"/>
      <c r="K36" s="58" t="s">
        <v>4</v>
      </c>
    </row>
  </sheetData>
  <sheetProtection sheet="1" objects="1" scenarios="1"/>
  <mergeCells count="19">
    <mergeCell ref="F36:J36"/>
    <mergeCell ref="G28:H28"/>
    <mergeCell ref="G29:H29"/>
    <mergeCell ref="G30:H30"/>
    <mergeCell ref="G31:H31"/>
    <mergeCell ref="G32:H32"/>
    <mergeCell ref="F35:J35"/>
    <mergeCell ref="G13:H13"/>
    <mergeCell ref="G22:H22"/>
    <mergeCell ref="G23:H23"/>
    <mergeCell ref="G24:H24"/>
    <mergeCell ref="G26:H26"/>
    <mergeCell ref="G27:H27"/>
    <mergeCell ref="B1:F1"/>
    <mergeCell ref="G1:H1"/>
    <mergeCell ref="A2:B2"/>
    <mergeCell ref="C2:D2"/>
    <mergeCell ref="G11:H11"/>
    <mergeCell ref="G12:H12"/>
  </mergeCells>
  <dataValidations count="4">
    <dataValidation type="time" allowBlank="1" showInputMessage="1" showErrorMessage="1" errorTitle="Error" error="Enter time using the format: hh:mm AM/PM_x000a__x000a_Example: 8:30 AM_x000a__x000a_There must be a space between the time and period" sqref="F4:G10 F15:G21 C15:D21 C4:D10" xr:uid="{B48CF05E-7F0F-44A5-8BBB-47633C6250B9}">
      <formula1>0</formula1>
      <formula2>0.999305555555556</formula2>
    </dataValidation>
    <dataValidation type="custom" allowBlank="1" showInputMessage="1" showErrorMessage="1" errorTitle="Error" error="Date must be a Sunday" sqref="C2:D2" xr:uid="{DA1E508E-A5C7-4485-848B-BE78C7DAD9F4}">
      <formula1>WEEKDAY(C2)=1</formula1>
    </dataValidation>
    <dataValidation type="decimal" allowBlank="1" showInputMessage="1" showErrorMessage="1" errorTitle="Error" error="Enter hours using the format: _x000a_00.00_x000a__x000a_Example: 2.50" sqref="J4:J10 J15:J21" xr:uid="{7EC9E8B9-748E-45C1-AEE3-EECB46AFA0EC}">
      <formula1>0</formula1>
      <formula2>24</formula2>
    </dataValidation>
    <dataValidation type="decimal" allowBlank="1" showInputMessage="1" showErrorMessage="1" sqref="I29:I31" xr:uid="{DC5251CB-B398-43BA-8C77-40185E057E0D}">
      <formula1>0</formula1>
      <formula2>999.99</formula2>
    </dataValidation>
  </dataValidations>
  <printOptions horizontalCentered="1" verticalCentered="1"/>
  <pageMargins left="0.25" right="0.25" top="0.25" bottom="0.25" header="0.25" footer="0.25"/>
  <pageSetup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2811" r:id="rId4" name="CheckBox42">
          <controlPr defaultSize="0" autoLine="0" r:id="rId5">
            <anchor>
              <from>
                <xdr:col>10</xdr:col>
                <xdr:colOff>266700</xdr:colOff>
                <xdr:row>20</xdr:row>
                <xdr:rowOff>28575</xdr:rowOff>
              </from>
              <to>
                <xdr:col>10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2811" r:id="rId4" name="CheckBox42"/>
      </mc:Fallback>
    </mc:AlternateContent>
    <mc:AlternateContent xmlns:mc="http://schemas.openxmlformats.org/markup-compatibility/2006">
      <mc:Choice Requires="x14">
        <control shapeId="32810" r:id="rId6" name="CheckBox41">
          <controlPr defaultSize="0" autoLine="0" r:id="rId5">
            <anchor>
              <from>
                <xdr:col>10</xdr:col>
                <xdr:colOff>266700</xdr:colOff>
                <xdr:row>19</xdr:row>
                <xdr:rowOff>28575</xdr:rowOff>
              </from>
              <to>
                <xdr:col>10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2810" r:id="rId6" name="CheckBox41"/>
      </mc:Fallback>
    </mc:AlternateContent>
    <mc:AlternateContent xmlns:mc="http://schemas.openxmlformats.org/markup-compatibility/2006">
      <mc:Choice Requires="x14">
        <control shapeId="32809" r:id="rId7" name="CheckBox40">
          <controlPr defaultSize="0" autoLine="0" r:id="rId5">
            <anchor>
              <from>
                <xdr:col>10</xdr:col>
                <xdr:colOff>266700</xdr:colOff>
                <xdr:row>18</xdr:row>
                <xdr:rowOff>19050</xdr:rowOff>
              </from>
              <to>
                <xdr:col>10</xdr:col>
                <xdr:colOff>419100</xdr:colOff>
                <xdr:row>19</xdr:row>
                <xdr:rowOff>0</xdr:rowOff>
              </to>
            </anchor>
          </controlPr>
        </control>
      </mc:Choice>
      <mc:Fallback>
        <control shapeId="32809" r:id="rId7" name="CheckBox40"/>
      </mc:Fallback>
    </mc:AlternateContent>
    <mc:AlternateContent xmlns:mc="http://schemas.openxmlformats.org/markup-compatibility/2006">
      <mc:Choice Requires="x14">
        <control shapeId="32808" r:id="rId8" name="CheckBox39">
          <controlPr defaultSize="0" autoLine="0" r:id="rId5">
            <anchor>
              <from>
                <xdr:col>10</xdr:col>
                <xdr:colOff>266700</xdr:colOff>
                <xdr:row>17</xdr:row>
                <xdr:rowOff>28575</xdr:rowOff>
              </from>
              <to>
                <xdr:col>10</xdr:col>
                <xdr:colOff>419100</xdr:colOff>
                <xdr:row>18</xdr:row>
                <xdr:rowOff>9525</xdr:rowOff>
              </to>
            </anchor>
          </controlPr>
        </control>
      </mc:Choice>
      <mc:Fallback>
        <control shapeId="32808" r:id="rId8" name="CheckBox39"/>
      </mc:Fallback>
    </mc:AlternateContent>
    <mc:AlternateContent xmlns:mc="http://schemas.openxmlformats.org/markup-compatibility/2006">
      <mc:Choice Requires="x14">
        <control shapeId="32807" r:id="rId9" name="CheckBox38">
          <controlPr defaultSize="0" autoLine="0" r:id="rId5">
            <anchor>
              <from>
                <xdr:col>10</xdr:col>
                <xdr:colOff>266700</xdr:colOff>
                <xdr:row>16</xdr:row>
                <xdr:rowOff>19050</xdr:rowOff>
              </from>
              <to>
                <xdr:col>10</xdr:col>
                <xdr:colOff>419100</xdr:colOff>
                <xdr:row>17</xdr:row>
                <xdr:rowOff>0</xdr:rowOff>
              </to>
            </anchor>
          </controlPr>
        </control>
      </mc:Choice>
      <mc:Fallback>
        <control shapeId="32807" r:id="rId9" name="CheckBox38"/>
      </mc:Fallback>
    </mc:AlternateContent>
    <mc:AlternateContent xmlns:mc="http://schemas.openxmlformats.org/markup-compatibility/2006">
      <mc:Choice Requires="x14">
        <control shapeId="32806" r:id="rId10" name="CheckBox37">
          <controlPr defaultSize="0" autoLine="0" r:id="rId5">
            <anchor>
              <from>
                <xdr:col>10</xdr:col>
                <xdr:colOff>266700</xdr:colOff>
                <xdr:row>15</xdr:row>
                <xdr:rowOff>28575</xdr:rowOff>
              </from>
              <to>
                <xdr:col>10</xdr:col>
                <xdr:colOff>419100</xdr:colOff>
                <xdr:row>16</xdr:row>
                <xdr:rowOff>9525</xdr:rowOff>
              </to>
            </anchor>
          </controlPr>
        </control>
      </mc:Choice>
      <mc:Fallback>
        <control shapeId="32806" r:id="rId10" name="CheckBox37"/>
      </mc:Fallback>
    </mc:AlternateContent>
    <mc:AlternateContent xmlns:mc="http://schemas.openxmlformats.org/markup-compatibility/2006">
      <mc:Choice Requires="x14">
        <control shapeId="32805" r:id="rId11" name="CheckBox36">
          <controlPr defaultSize="0" autoLine="0" r:id="rId5">
            <anchor>
              <from>
                <xdr:col>10</xdr:col>
                <xdr:colOff>266700</xdr:colOff>
                <xdr:row>14</xdr:row>
                <xdr:rowOff>19050</xdr:rowOff>
              </from>
              <to>
                <xdr:col>10</xdr:col>
                <xdr:colOff>419100</xdr:colOff>
                <xdr:row>15</xdr:row>
                <xdr:rowOff>0</xdr:rowOff>
              </to>
            </anchor>
          </controlPr>
        </control>
      </mc:Choice>
      <mc:Fallback>
        <control shapeId="32805" r:id="rId11" name="CheckBox36"/>
      </mc:Fallback>
    </mc:AlternateContent>
    <mc:AlternateContent xmlns:mc="http://schemas.openxmlformats.org/markup-compatibility/2006">
      <mc:Choice Requires="x14">
        <control shapeId="32804" r:id="rId12" name="CheckBox35">
          <controlPr defaultSize="0" autoLine="0" r:id="rId5">
            <anchor>
              <from>
                <xdr:col>11</xdr:col>
                <xdr:colOff>266700</xdr:colOff>
                <xdr:row>20</xdr:row>
                <xdr:rowOff>28575</xdr:rowOff>
              </from>
              <to>
                <xdr:col>11</xdr:col>
                <xdr:colOff>419100</xdr:colOff>
                <xdr:row>21</xdr:row>
                <xdr:rowOff>9525</xdr:rowOff>
              </to>
            </anchor>
          </controlPr>
        </control>
      </mc:Choice>
      <mc:Fallback>
        <control shapeId="32804" r:id="rId12" name="CheckBox35"/>
      </mc:Fallback>
    </mc:AlternateContent>
    <mc:AlternateContent xmlns:mc="http://schemas.openxmlformats.org/markup-compatibility/2006">
      <mc:Choice Requires="x14">
        <control shapeId="32803" r:id="rId13" name="CheckBox34">
          <controlPr defaultSize="0" autoLine="0" r:id="rId5">
            <anchor>
              <from>
                <xdr:col>11</xdr:col>
                <xdr:colOff>266700</xdr:colOff>
                <xdr:row>19</xdr:row>
                <xdr:rowOff>28575</xdr:rowOff>
              </from>
              <to>
                <xdr:col>11</xdr:col>
                <xdr:colOff>419100</xdr:colOff>
                <xdr:row>20</xdr:row>
                <xdr:rowOff>9525</xdr:rowOff>
              </to>
            </anchor>
          </controlPr>
        </control>
      </mc:Choice>
      <mc:Fallback>
        <control shapeId="32803" r:id="rId13" name="CheckBox34"/>
      </mc:Fallback>
    </mc:AlternateContent>
    <mc:AlternateContent xmlns:mc="http://schemas.openxmlformats.org/markup-compatibility/2006">
      <mc:Choice Requires="x14">
        <control shapeId="32802" r:id="rId14" name="CheckBox33">
          <controlPr defaultSize="0" autoLine="0" r:id="rId5">
            <anchor>
              <from>
                <xdr:col>11</xdr:col>
                <xdr:colOff>257175</xdr:colOff>
                <xdr:row>18</xdr:row>
                <xdr:rowOff>28575</xdr:rowOff>
              </from>
              <to>
                <xdr:col>11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2802" r:id="rId14" name="CheckBox33"/>
      </mc:Fallback>
    </mc:AlternateContent>
    <mc:AlternateContent xmlns:mc="http://schemas.openxmlformats.org/markup-compatibility/2006">
      <mc:Choice Requires="x14">
        <control shapeId="32801" r:id="rId15" name="CheckBox32">
          <controlPr defaultSize="0" autoLine="0" r:id="rId5">
            <anchor>
              <from>
                <xdr:col>11</xdr:col>
                <xdr:colOff>257175</xdr:colOff>
                <xdr:row>17</xdr:row>
                <xdr:rowOff>28575</xdr:rowOff>
              </from>
              <to>
                <xdr:col>11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2801" r:id="rId15" name="CheckBox32"/>
      </mc:Fallback>
    </mc:AlternateContent>
    <mc:AlternateContent xmlns:mc="http://schemas.openxmlformats.org/markup-compatibility/2006">
      <mc:Choice Requires="x14">
        <control shapeId="32800" r:id="rId16" name="CheckBox31">
          <controlPr defaultSize="0" autoLine="0" r:id="rId5">
            <anchor>
              <from>
                <xdr:col>11</xdr:col>
                <xdr:colOff>257175</xdr:colOff>
                <xdr:row>16</xdr:row>
                <xdr:rowOff>19050</xdr:rowOff>
              </from>
              <to>
                <xdr:col>11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2800" r:id="rId16" name="CheckBox31"/>
      </mc:Fallback>
    </mc:AlternateContent>
    <mc:AlternateContent xmlns:mc="http://schemas.openxmlformats.org/markup-compatibility/2006">
      <mc:Choice Requires="x14">
        <control shapeId="32799" r:id="rId17" name="CheckBox30">
          <controlPr defaultSize="0" autoLine="0" r:id="rId5">
            <anchor>
              <from>
                <xdr:col>11</xdr:col>
                <xdr:colOff>257175</xdr:colOff>
                <xdr:row>15</xdr:row>
                <xdr:rowOff>28575</xdr:rowOff>
              </from>
              <to>
                <xdr:col>11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2799" r:id="rId17" name="CheckBox30"/>
      </mc:Fallback>
    </mc:AlternateContent>
    <mc:AlternateContent xmlns:mc="http://schemas.openxmlformats.org/markup-compatibility/2006">
      <mc:Choice Requires="x14">
        <control shapeId="32798" r:id="rId18" name="CheckBox29">
          <controlPr defaultSize="0" autoLine="0" r:id="rId5">
            <anchor>
              <from>
                <xdr:col>11</xdr:col>
                <xdr:colOff>257175</xdr:colOff>
                <xdr:row>14</xdr:row>
                <xdr:rowOff>19050</xdr:rowOff>
              </from>
              <to>
                <xdr:col>11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2798" r:id="rId18" name="CheckBox29"/>
      </mc:Fallback>
    </mc:AlternateContent>
    <mc:AlternateContent xmlns:mc="http://schemas.openxmlformats.org/markup-compatibility/2006">
      <mc:Choice Requires="x14">
        <control shapeId="32797" r:id="rId19" name="CheckBox28">
          <controlPr defaultSize="0" autoLine="0" r:id="rId5">
            <anchor>
              <from>
                <xdr:col>12</xdr:col>
                <xdr:colOff>257175</xdr:colOff>
                <xdr:row>20</xdr:row>
                <xdr:rowOff>28575</xdr:rowOff>
              </from>
              <to>
                <xdr:col>12</xdr:col>
                <xdr:colOff>409575</xdr:colOff>
                <xdr:row>21</xdr:row>
                <xdr:rowOff>9525</xdr:rowOff>
              </to>
            </anchor>
          </controlPr>
        </control>
      </mc:Choice>
      <mc:Fallback>
        <control shapeId="32797" r:id="rId19" name="CheckBox28"/>
      </mc:Fallback>
    </mc:AlternateContent>
    <mc:AlternateContent xmlns:mc="http://schemas.openxmlformats.org/markup-compatibility/2006">
      <mc:Choice Requires="x14">
        <control shapeId="32796" r:id="rId20" name="CheckBox27">
          <controlPr defaultSize="0" autoLine="0" r:id="rId5">
            <anchor>
              <from>
                <xdr:col>12</xdr:col>
                <xdr:colOff>257175</xdr:colOff>
                <xdr:row>19</xdr:row>
                <xdr:rowOff>28575</xdr:rowOff>
              </from>
              <to>
                <xdr:col>12</xdr:col>
                <xdr:colOff>409575</xdr:colOff>
                <xdr:row>20</xdr:row>
                <xdr:rowOff>9525</xdr:rowOff>
              </to>
            </anchor>
          </controlPr>
        </control>
      </mc:Choice>
      <mc:Fallback>
        <control shapeId="32796" r:id="rId20" name="CheckBox27"/>
      </mc:Fallback>
    </mc:AlternateContent>
    <mc:AlternateContent xmlns:mc="http://schemas.openxmlformats.org/markup-compatibility/2006">
      <mc:Choice Requires="x14">
        <control shapeId="32795" r:id="rId21" name="CheckBox26">
          <controlPr defaultSize="0" autoLine="0" r:id="rId5">
            <anchor>
              <from>
                <xdr:col>12</xdr:col>
                <xdr:colOff>257175</xdr:colOff>
                <xdr:row>18</xdr:row>
                <xdr:rowOff>28575</xdr:rowOff>
              </from>
              <to>
                <xdr:col>12</xdr:col>
                <xdr:colOff>409575</xdr:colOff>
                <xdr:row>19</xdr:row>
                <xdr:rowOff>9525</xdr:rowOff>
              </to>
            </anchor>
          </controlPr>
        </control>
      </mc:Choice>
      <mc:Fallback>
        <control shapeId="32795" r:id="rId21" name="CheckBox26"/>
      </mc:Fallback>
    </mc:AlternateContent>
    <mc:AlternateContent xmlns:mc="http://schemas.openxmlformats.org/markup-compatibility/2006">
      <mc:Choice Requires="x14">
        <control shapeId="32794" r:id="rId22" name="CheckBox25">
          <controlPr defaultSize="0" autoLine="0" r:id="rId5">
            <anchor>
              <from>
                <xdr:col>12</xdr:col>
                <xdr:colOff>257175</xdr:colOff>
                <xdr:row>17</xdr:row>
                <xdr:rowOff>28575</xdr:rowOff>
              </from>
              <to>
                <xdr:col>12</xdr:col>
                <xdr:colOff>409575</xdr:colOff>
                <xdr:row>18</xdr:row>
                <xdr:rowOff>9525</xdr:rowOff>
              </to>
            </anchor>
          </controlPr>
        </control>
      </mc:Choice>
      <mc:Fallback>
        <control shapeId="32794" r:id="rId22" name="CheckBox25"/>
      </mc:Fallback>
    </mc:AlternateContent>
    <mc:AlternateContent xmlns:mc="http://schemas.openxmlformats.org/markup-compatibility/2006">
      <mc:Choice Requires="x14">
        <control shapeId="32793" r:id="rId23" name="CheckBox24">
          <controlPr defaultSize="0" autoLine="0" r:id="rId5">
            <anchor>
              <from>
                <xdr:col>12</xdr:col>
                <xdr:colOff>257175</xdr:colOff>
                <xdr:row>16</xdr:row>
                <xdr:rowOff>19050</xdr:rowOff>
              </from>
              <to>
                <xdr:col>12</xdr:col>
                <xdr:colOff>409575</xdr:colOff>
                <xdr:row>17</xdr:row>
                <xdr:rowOff>0</xdr:rowOff>
              </to>
            </anchor>
          </controlPr>
        </control>
      </mc:Choice>
      <mc:Fallback>
        <control shapeId="32793" r:id="rId23" name="CheckBox24"/>
      </mc:Fallback>
    </mc:AlternateContent>
    <mc:AlternateContent xmlns:mc="http://schemas.openxmlformats.org/markup-compatibility/2006">
      <mc:Choice Requires="x14">
        <control shapeId="32792" r:id="rId24" name="CheckBox23">
          <controlPr defaultSize="0" autoLine="0" r:id="rId5">
            <anchor>
              <from>
                <xdr:col>12</xdr:col>
                <xdr:colOff>257175</xdr:colOff>
                <xdr:row>15</xdr:row>
                <xdr:rowOff>28575</xdr:rowOff>
              </from>
              <to>
                <xdr:col>12</xdr:col>
                <xdr:colOff>409575</xdr:colOff>
                <xdr:row>16</xdr:row>
                <xdr:rowOff>9525</xdr:rowOff>
              </to>
            </anchor>
          </controlPr>
        </control>
      </mc:Choice>
      <mc:Fallback>
        <control shapeId="32792" r:id="rId24" name="CheckBox23"/>
      </mc:Fallback>
    </mc:AlternateContent>
    <mc:AlternateContent xmlns:mc="http://schemas.openxmlformats.org/markup-compatibility/2006">
      <mc:Choice Requires="x14">
        <control shapeId="32791" r:id="rId25" name="CheckBox22">
          <controlPr defaultSize="0" autoLine="0" r:id="rId5">
            <anchor>
              <from>
                <xdr:col>12</xdr:col>
                <xdr:colOff>257175</xdr:colOff>
                <xdr:row>14</xdr:row>
                <xdr:rowOff>19050</xdr:rowOff>
              </from>
              <to>
                <xdr:col>12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32791" r:id="rId25" name="CheckBox22"/>
      </mc:Fallback>
    </mc:AlternateContent>
    <mc:AlternateContent xmlns:mc="http://schemas.openxmlformats.org/markup-compatibility/2006">
      <mc:Choice Requires="x14">
        <control shapeId="32790" r:id="rId26" name="CheckBox21">
          <controlPr defaultSize="0" autoLine="0" r:id="rId5">
            <anchor>
              <from>
                <xdr:col>12</xdr:col>
                <xdr:colOff>228600</xdr:colOff>
                <xdr:row>9</xdr:row>
                <xdr:rowOff>28575</xdr:rowOff>
              </from>
              <to>
                <xdr:col>12</xdr:col>
                <xdr:colOff>381000</xdr:colOff>
                <xdr:row>10</xdr:row>
                <xdr:rowOff>9525</xdr:rowOff>
              </to>
            </anchor>
          </controlPr>
        </control>
      </mc:Choice>
      <mc:Fallback>
        <control shapeId="32790" r:id="rId26" name="CheckBox21"/>
      </mc:Fallback>
    </mc:AlternateContent>
    <mc:AlternateContent xmlns:mc="http://schemas.openxmlformats.org/markup-compatibility/2006">
      <mc:Choice Requires="x14">
        <control shapeId="32789" r:id="rId27" name="CheckBox20">
          <controlPr defaultSize="0" autoLine="0" r:id="rId5">
            <anchor>
              <from>
                <xdr:col>12</xdr:col>
                <xdr:colOff>228600</xdr:colOff>
                <xdr:row>8</xdr:row>
                <xdr:rowOff>28575</xdr:rowOff>
              </from>
              <to>
                <xdr:col>12</xdr:col>
                <xdr:colOff>381000</xdr:colOff>
                <xdr:row>9</xdr:row>
                <xdr:rowOff>9525</xdr:rowOff>
              </to>
            </anchor>
          </controlPr>
        </control>
      </mc:Choice>
      <mc:Fallback>
        <control shapeId="32789" r:id="rId27" name="CheckBox20"/>
      </mc:Fallback>
    </mc:AlternateContent>
    <mc:AlternateContent xmlns:mc="http://schemas.openxmlformats.org/markup-compatibility/2006">
      <mc:Choice Requires="x14">
        <control shapeId="32788" r:id="rId28" name="CheckBox19">
          <controlPr defaultSize="0" autoLine="0" r:id="rId5">
            <anchor>
              <from>
                <xdr:col>12</xdr:col>
                <xdr:colOff>228600</xdr:colOff>
                <xdr:row>7</xdr:row>
                <xdr:rowOff>28575</xdr:rowOff>
              </from>
              <to>
                <xdr:col>12</xdr:col>
                <xdr:colOff>381000</xdr:colOff>
                <xdr:row>8</xdr:row>
                <xdr:rowOff>9525</xdr:rowOff>
              </to>
            </anchor>
          </controlPr>
        </control>
      </mc:Choice>
      <mc:Fallback>
        <control shapeId="32788" r:id="rId28" name="CheckBox19"/>
      </mc:Fallback>
    </mc:AlternateContent>
    <mc:AlternateContent xmlns:mc="http://schemas.openxmlformats.org/markup-compatibility/2006">
      <mc:Choice Requires="x14">
        <control shapeId="32787" r:id="rId29" name="CheckBox18">
          <controlPr defaultSize="0" autoLine="0" r:id="rId5">
            <anchor>
              <from>
                <xdr:col>12</xdr:col>
                <xdr:colOff>228600</xdr:colOff>
                <xdr:row>6</xdr:row>
                <xdr:rowOff>28575</xdr:rowOff>
              </from>
              <to>
                <xdr:col>12</xdr:col>
                <xdr:colOff>381000</xdr:colOff>
                <xdr:row>7</xdr:row>
                <xdr:rowOff>9525</xdr:rowOff>
              </to>
            </anchor>
          </controlPr>
        </control>
      </mc:Choice>
      <mc:Fallback>
        <control shapeId="32787" r:id="rId29" name="CheckBox18"/>
      </mc:Fallback>
    </mc:AlternateContent>
    <mc:AlternateContent xmlns:mc="http://schemas.openxmlformats.org/markup-compatibility/2006">
      <mc:Choice Requires="x14">
        <control shapeId="32786" r:id="rId30" name="CheckBox17">
          <controlPr defaultSize="0" autoLine="0" r:id="rId5">
            <anchor>
              <from>
                <xdr:col>12</xdr:col>
                <xdr:colOff>228600</xdr:colOff>
                <xdr:row>5</xdr:row>
                <xdr:rowOff>19050</xdr:rowOff>
              </from>
              <to>
                <xdr:col>12</xdr:col>
                <xdr:colOff>381000</xdr:colOff>
                <xdr:row>6</xdr:row>
                <xdr:rowOff>0</xdr:rowOff>
              </to>
            </anchor>
          </controlPr>
        </control>
      </mc:Choice>
      <mc:Fallback>
        <control shapeId="32786" r:id="rId30" name="CheckBox17"/>
      </mc:Fallback>
    </mc:AlternateContent>
    <mc:AlternateContent xmlns:mc="http://schemas.openxmlformats.org/markup-compatibility/2006">
      <mc:Choice Requires="x14">
        <control shapeId="32785" r:id="rId31" name="CheckBox16">
          <controlPr defaultSize="0" autoLine="0" r:id="rId5">
            <anchor>
              <from>
                <xdr:col>12</xdr:col>
                <xdr:colOff>228600</xdr:colOff>
                <xdr:row>4</xdr:row>
                <xdr:rowOff>28575</xdr:rowOff>
              </from>
              <to>
                <xdr:col>12</xdr:col>
                <xdr:colOff>381000</xdr:colOff>
                <xdr:row>5</xdr:row>
                <xdr:rowOff>9525</xdr:rowOff>
              </to>
            </anchor>
          </controlPr>
        </control>
      </mc:Choice>
      <mc:Fallback>
        <control shapeId="32785" r:id="rId31" name="CheckBox16"/>
      </mc:Fallback>
    </mc:AlternateContent>
    <mc:AlternateContent xmlns:mc="http://schemas.openxmlformats.org/markup-compatibility/2006">
      <mc:Choice Requires="x14">
        <control shapeId="32784" r:id="rId32" name="CheckBox15">
          <controlPr defaultSize="0" autoLine="0" r:id="rId5">
            <anchor>
              <from>
                <xdr:col>12</xdr:col>
                <xdr:colOff>228600</xdr:colOff>
                <xdr:row>3</xdr:row>
                <xdr:rowOff>19050</xdr:rowOff>
              </from>
              <to>
                <xdr:col>12</xdr:col>
                <xdr:colOff>381000</xdr:colOff>
                <xdr:row>4</xdr:row>
                <xdr:rowOff>0</xdr:rowOff>
              </to>
            </anchor>
          </controlPr>
        </control>
      </mc:Choice>
      <mc:Fallback>
        <control shapeId="32784" r:id="rId32" name="CheckBox15"/>
      </mc:Fallback>
    </mc:AlternateContent>
    <mc:AlternateContent xmlns:mc="http://schemas.openxmlformats.org/markup-compatibility/2006">
      <mc:Choice Requires="x14">
        <control shapeId="32783" r:id="rId33" name="CheckBox14">
          <controlPr defaultSize="0" autoLine="0" r:id="rId5">
            <anchor>
              <from>
                <xdr:col>11</xdr:col>
                <xdr:colOff>257175</xdr:colOff>
                <xdr:row>9</xdr:row>
                <xdr:rowOff>19050</xdr:rowOff>
              </from>
              <to>
                <xdr:col>11</xdr:col>
                <xdr:colOff>409575</xdr:colOff>
                <xdr:row>10</xdr:row>
                <xdr:rowOff>0</xdr:rowOff>
              </to>
            </anchor>
          </controlPr>
        </control>
      </mc:Choice>
      <mc:Fallback>
        <control shapeId="32783" r:id="rId33" name="CheckBox14"/>
      </mc:Fallback>
    </mc:AlternateContent>
    <mc:AlternateContent xmlns:mc="http://schemas.openxmlformats.org/markup-compatibility/2006">
      <mc:Choice Requires="x14">
        <control shapeId="32782" r:id="rId34" name="CheckBox13">
          <controlPr defaultSize="0" autoLine="0" r:id="rId5">
            <anchor>
              <from>
                <xdr:col>11</xdr:col>
                <xdr:colOff>266700</xdr:colOff>
                <xdr:row>8</xdr:row>
                <xdr:rowOff>28575</xdr:rowOff>
              </from>
              <to>
                <xdr:col>11</xdr:col>
                <xdr:colOff>419100</xdr:colOff>
                <xdr:row>9</xdr:row>
                <xdr:rowOff>9525</xdr:rowOff>
              </to>
            </anchor>
          </controlPr>
        </control>
      </mc:Choice>
      <mc:Fallback>
        <control shapeId="32782" r:id="rId34" name="CheckBox13"/>
      </mc:Fallback>
    </mc:AlternateContent>
    <mc:AlternateContent xmlns:mc="http://schemas.openxmlformats.org/markup-compatibility/2006">
      <mc:Choice Requires="x14">
        <control shapeId="32781" r:id="rId35" name="CheckBox12">
          <controlPr defaultSize="0" autoLine="0" r:id="rId5">
            <anchor>
              <from>
                <xdr:col>11</xdr:col>
                <xdr:colOff>266700</xdr:colOff>
                <xdr:row>7</xdr:row>
                <xdr:rowOff>28575</xdr:rowOff>
              </from>
              <to>
                <xdr:col>11</xdr:col>
                <xdr:colOff>419100</xdr:colOff>
                <xdr:row>8</xdr:row>
                <xdr:rowOff>9525</xdr:rowOff>
              </to>
            </anchor>
          </controlPr>
        </control>
      </mc:Choice>
      <mc:Fallback>
        <control shapeId="32781" r:id="rId35" name="CheckBox12"/>
      </mc:Fallback>
    </mc:AlternateContent>
    <mc:AlternateContent xmlns:mc="http://schemas.openxmlformats.org/markup-compatibility/2006">
      <mc:Choice Requires="x14">
        <control shapeId="32780" r:id="rId36" name="CheckBox11">
          <controlPr defaultSize="0" autoLine="0" r:id="rId5">
            <anchor>
              <from>
                <xdr:col>11</xdr:col>
                <xdr:colOff>266700</xdr:colOff>
                <xdr:row>6</xdr:row>
                <xdr:rowOff>28575</xdr:rowOff>
              </from>
              <to>
                <xdr:col>11</xdr:col>
                <xdr:colOff>419100</xdr:colOff>
                <xdr:row>7</xdr:row>
                <xdr:rowOff>9525</xdr:rowOff>
              </to>
            </anchor>
          </controlPr>
        </control>
      </mc:Choice>
      <mc:Fallback>
        <control shapeId="32780" r:id="rId36" name="CheckBox11"/>
      </mc:Fallback>
    </mc:AlternateContent>
    <mc:AlternateContent xmlns:mc="http://schemas.openxmlformats.org/markup-compatibility/2006">
      <mc:Choice Requires="x14">
        <control shapeId="32779" r:id="rId37" name="CheckBox10">
          <controlPr defaultSize="0" autoLine="0" r:id="rId5">
            <anchor>
              <from>
                <xdr:col>11</xdr:col>
                <xdr:colOff>266700</xdr:colOff>
                <xdr:row>5</xdr:row>
                <xdr:rowOff>19050</xdr:rowOff>
              </from>
              <to>
                <xdr:col>11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32779" r:id="rId37" name="CheckBox10"/>
      </mc:Fallback>
    </mc:AlternateContent>
    <mc:AlternateContent xmlns:mc="http://schemas.openxmlformats.org/markup-compatibility/2006">
      <mc:Choice Requires="x14">
        <control shapeId="32778" r:id="rId38" name="CheckBox9">
          <controlPr defaultSize="0" autoLine="0" r:id="rId5">
            <anchor>
              <from>
                <xdr:col>11</xdr:col>
                <xdr:colOff>266700</xdr:colOff>
                <xdr:row>4</xdr:row>
                <xdr:rowOff>28575</xdr:rowOff>
              </from>
              <to>
                <xdr:col>11</xdr:col>
                <xdr:colOff>419100</xdr:colOff>
                <xdr:row>5</xdr:row>
                <xdr:rowOff>9525</xdr:rowOff>
              </to>
            </anchor>
          </controlPr>
        </control>
      </mc:Choice>
      <mc:Fallback>
        <control shapeId="32778" r:id="rId38" name="CheckBox9"/>
      </mc:Fallback>
    </mc:AlternateContent>
    <mc:AlternateContent xmlns:mc="http://schemas.openxmlformats.org/markup-compatibility/2006">
      <mc:Choice Requires="x14">
        <control shapeId="32777" r:id="rId39" name="CheckBox8">
          <controlPr defaultSize="0" autoLine="0" r:id="rId5">
            <anchor>
              <from>
                <xdr:col>11</xdr:col>
                <xdr:colOff>266700</xdr:colOff>
                <xdr:row>3</xdr:row>
                <xdr:rowOff>19050</xdr:rowOff>
              </from>
              <to>
                <xdr:col>11</xdr:col>
                <xdr:colOff>419100</xdr:colOff>
                <xdr:row>4</xdr:row>
                <xdr:rowOff>0</xdr:rowOff>
              </to>
            </anchor>
          </controlPr>
        </control>
      </mc:Choice>
      <mc:Fallback>
        <control shapeId="32777" r:id="rId39" name="CheckBox8"/>
      </mc:Fallback>
    </mc:AlternateContent>
    <mc:AlternateContent xmlns:mc="http://schemas.openxmlformats.org/markup-compatibility/2006">
      <mc:Choice Requires="x14">
        <control shapeId="32776" r:id="rId40" name="CheckBox7">
          <controlPr defaultSize="0" autoLine="0" r:id="rId5">
            <anchor>
              <from>
                <xdr:col>10</xdr:col>
                <xdr:colOff>266700</xdr:colOff>
                <xdr:row>9</xdr:row>
                <xdr:rowOff>28575</xdr:rowOff>
              </from>
              <to>
                <xdr:col>10</xdr:col>
                <xdr:colOff>419100</xdr:colOff>
                <xdr:row>10</xdr:row>
                <xdr:rowOff>9525</xdr:rowOff>
              </to>
            </anchor>
          </controlPr>
        </control>
      </mc:Choice>
      <mc:Fallback>
        <control shapeId="32776" r:id="rId40" name="CheckBox7"/>
      </mc:Fallback>
    </mc:AlternateContent>
    <mc:AlternateContent xmlns:mc="http://schemas.openxmlformats.org/markup-compatibility/2006">
      <mc:Choice Requires="x14">
        <control shapeId="32775" r:id="rId41" name="CheckBox6">
          <controlPr defaultSize="0" autoLine="0" r:id="rId5">
            <anchor>
              <from>
                <xdr:col>10</xdr:col>
                <xdr:colOff>257175</xdr:colOff>
                <xdr:row>8</xdr:row>
                <xdr:rowOff>28575</xdr:rowOff>
              </from>
              <to>
                <xdr:col>10</xdr:col>
                <xdr:colOff>409575</xdr:colOff>
                <xdr:row>9</xdr:row>
                <xdr:rowOff>9525</xdr:rowOff>
              </to>
            </anchor>
          </controlPr>
        </control>
      </mc:Choice>
      <mc:Fallback>
        <control shapeId="32775" r:id="rId41" name="CheckBox6"/>
      </mc:Fallback>
    </mc:AlternateContent>
    <mc:AlternateContent xmlns:mc="http://schemas.openxmlformats.org/markup-compatibility/2006">
      <mc:Choice Requires="x14">
        <control shapeId="32774" r:id="rId42" name="CheckBox5">
          <controlPr defaultSize="0" autoLine="0" r:id="rId5">
            <anchor>
              <from>
                <xdr:col>10</xdr:col>
                <xdr:colOff>257175</xdr:colOff>
                <xdr:row>7</xdr:row>
                <xdr:rowOff>19050</xdr:rowOff>
              </from>
              <to>
                <xdr:col>10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32774" r:id="rId42" name="CheckBox5"/>
      </mc:Fallback>
    </mc:AlternateContent>
    <mc:AlternateContent xmlns:mc="http://schemas.openxmlformats.org/markup-compatibility/2006">
      <mc:Choice Requires="x14">
        <control shapeId="32773" r:id="rId43" name="CheckBox4">
          <controlPr defaultSize="0" autoLine="0" r:id="rId5">
            <anchor>
              <from>
                <xdr:col>10</xdr:col>
                <xdr:colOff>257175</xdr:colOff>
                <xdr:row>6</xdr:row>
                <xdr:rowOff>28575</xdr:rowOff>
              </from>
              <to>
                <xdr:col>10</xdr:col>
                <xdr:colOff>409575</xdr:colOff>
                <xdr:row>7</xdr:row>
                <xdr:rowOff>9525</xdr:rowOff>
              </to>
            </anchor>
          </controlPr>
        </control>
      </mc:Choice>
      <mc:Fallback>
        <control shapeId="32773" r:id="rId43" name="CheckBox4"/>
      </mc:Fallback>
    </mc:AlternateContent>
    <mc:AlternateContent xmlns:mc="http://schemas.openxmlformats.org/markup-compatibility/2006">
      <mc:Choice Requires="x14">
        <control shapeId="32772" r:id="rId44" name="CheckBox3">
          <controlPr defaultSize="0" autoLine="0" r:id="rId5">
            <anchor>
              <from>
                <xdr:col>10</xdr:col>
                <xdr:colOff>257175</xdr:colOff>
                <xdr:row>5</xdr:row>
                <xdr:rowOff>19050</xdr:rowOff>
              </from>
              <to>
                <xdr:col>10</xdr:col>
                <xdr:colOff>409575</xdr:colOff>
                <xdr:row>6</xdr:row>
                <xdr:rowOff>0</xdr:rowOff>
              </to>
            </anchor>
          </controlPr>
        </control>
      </mc:Choice>
      <mc:Fallback>
        <control shapeId="32772" r:id="rId44" name="CheckBox3"/>
      </mc:Fallback>
    </mc:AlternateContent>
    <mc:AlternateContent xmlns:mc="http://schemas.openxmlformats.org/markup-compatibility/2006">
      <mc:Choice Requires="x14">
        <control shapeId="32771" r:id="rId45" name="CheckBox2">
          <controlPr defaultSize="0" autoLine="0" r:id="rId5">
            <anchor>
              <from>
                <xdr:col>10</xdr:col>
                <xdr:colOff>257175</xdr:colOff>
                <xdr:row>4</xdr:row>
                <xdr:rowOff>28575</xdr:rowOff>
              </from>
              <to>
                <xdr:col>10</xdr:col>
                <xdr:colOff>409575</xdr:colOff>
                <xdr:row>5</xdr:row>
                <xdr:rowOff>9525</xdr:rowOff>
              </to>
            </anchor>
          </controlPr>
        </control>
      </mc:Choice>
      <mc:Fallback>
        <control shapeId="32771" r:id="rId45" name="CheckBox2"/>
      </mc:Fallback>
    </mc:AlternateContent>
    <mc:AlternateContent xmlns:mc="http://schemas.openxmlformats.org/markup-compatibility/2006">
      <mc:Choice Requires="x14">
        <control shapeId="32770" r:id="rId46" name="CheckBox1">
          <controlPr defaultSize="0" autoLine="0" r:id="rId5">
            <anchor>
              <from>
                <xdr:col>10</xdr:col>
                <xdr:colOff>257175</xdr:colOff>
                <xdr:row>3</xdr:row>
                <xdr:rowOff>19050</xdr:rowOff>
              </from>
              <to>
                <xdr:col>10</xdr:col>
                <xdr:colOff>409575</xdr:colOff>
                <xdr:row>4</xdr:row>
                <xdr:rowOff>0</xdr:rowOff>
              </to>
            </anchor>
          </controlPr>
        </control>
      </mc:Choice>
      <mc:Fallback>
        <control shapeId="32770" r:id="rId46" name="CheckBox1"/>
      </mc:Fallback>
    </mc:AlternateContent>
    <mc:AlternateContent xmlns:mc="http://schemas.openxmlformats.org/markup-compatibility/2006">
      <mc:Choice Requires="x14">
        <control shapeId="32769" r:id="rId47" name="CopyNClearButton">
          <controlPr locked="0" defaultSize="0" print="0" autoLine="0" r:id="rId48">
            <anchor moveWithCells="1">
              <from>
                <xdr:col>14</xdr:col>
                <xdr:colOff>133350</xdr:colOff>
                <xdr:row>1</xdr:row>
                <xdr:rowOff>180975</xdr:rowOff>
              </from>
              <to>
                <xdr:col>16</xdr:col>
                <xdr:colOff>514350</xdr:colOff>
                <xdr:row>2</xdr:row>
                <xdr:rowOff>285750</xdr:rowOff>
              </to>
            </anchor>
          </controlPr>
        </control>
      </mc:Choice>
      <mc:Fallback>
        <control shapeId="32769" r:id="rId47" name="CopyNClear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Timesheet</vt:lpstr>
      <vt:lpstr>Timesheet bk</vt:lpstr>
      <vt:lpstr>'Timesheet bk'!checkBoxes</vt:lpstr>
      <vt:lpstr>checkBoxes</vt:lpstr>
      <vt:lpstr>Timesheet!DataEntry</vt:lpstr>
      <vt:lpstr>'Timesheet bk'!DataEntry</vt:lpstr>
      <vt:lpstr>Timesheet!Print_Area</vt:lpstr>
      <vt:lpstr>'Timesheet bk'!Print_Area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Mitchell Bussard</dc:creator>
  <cp:keywords/>
  <dc:description/>
  <cp:lastModifiedBy>Mitchell Bussard</cp:lastModifiedBy>
  <cp:revision/>
  <cp:lastPrinted>2022-02-16T20:49:26Z</cp:lastPrinted>
  <dcterms:created xsi:type="dcterms:W3CDTF">2020-12-21T17:41:55Z</dcterms:created>
  <dcterms:modified xsi:type="dcterms:W3CDTF">2022-02-16T20:55:18Z</dcterms:modified>
  <cp:category/>
  <cp:contentStatus/>
</cp:coreProperties>
</file>