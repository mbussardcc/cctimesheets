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ceptsnet-my.sharepoint.com/personal/mitchellb_conceptsnet_com/Documents/Documents/GitHub/cctimesheets/"/>
    </mc:Choice>
  </mc:AlternateContent>
  <xr:revisionPtr revIDLastSave="42" documentId="13_ncr:1_{8A19B045-4462-410C-966F-403C1F7D4800}" xr6:coauthVersionLast="47" xr6:coauthVersionMax="47" xr10:uidLastSave="{9749EE86-266E-4413-AC98-5D8A4A100D8E}"/>
  <bookViews>
    <workbookView xWindow="-120" yWindow="-120" windowWidth="38640" windowHeight="15840" xr2:uid="{330A8A6B-3EE1-4F2F-8EED-64CEBC178DE6}"/>
  </bookViews>
  <sheets>
    <sheet name="Timesheet" sheetId="37" r:id="rId1"/>
    <sheet name="timesheet_bk" sheetId="39" state="hidden" r:id="rId2"/>
  </sheets>
  <definedNames>
    <definedName name="checkBoxes" localSheetId="1">timesheet_bk!$L$4:$N$10,timesheet_bk!$L$15,timesheet_bk!$M$15,timesheet_bk!$N$15,timesheet_bk!$N$16,timesheet_bk!$M$16,timesheet_bk!$L$16,timesheet_bk!$L$17,timesheet_bk!$M$17,timesheet_bk!$N$17,timesheet_bk!$N$18,timesheet_bk!$M$18,timesheet_bk!$L$18,timesheet_bk!$L$19,timesheet_bk!$M$19,timesheet_bk!$N$19,timesheet_bk!$N$21,timesheet_bk!$N$20,timesheet_bk!$M$20,timesheet_bk!$M$21,timesheet_bk!$L$21,timesheet_bk!$L$20</definedName>
    <definedName name="checkBoxes">Timesheet!$L$4:$N$10,Timesheet!$L$15,Timesheet!$M$15,Timesheet!$N$15,Timesheet!$N$16,Timesheet!$M$16,Timesheet!$L$16,Timesheet!$L$17,Timesheet!$M$17,Timesheet!$N$17,Timesheet!$N$18,Timesheet!$M$18,Timesheet!$L$18,Timesheet!$L$19,Timesheet!$M$19,Timesheet!$N$19,Timesheet!$N$21,Timesheet!$N$20,Timesheet!$M$20,Timesheet!$M$21,Timesheet!$L$21,Timesheet!$L$20</definedName>
    <definedName name="DataEntry" localSheetId="0">Timesheet!$C$4:$D$10,Timesheet!$F$4:$G$10,Timesheet!$J$4:$J$10,Timesheet!$J$15:$J$21,Timesheet!$F$15:$G$21,Timesheet!$C$15:$D$21,Timesheet!$I$30,Timesheet!$I$31,Timesheet!$I$32,Timesheet!$K$4:$K$10,Timesheet!$K$15:$K$21</definedName>
    <definedName name="DataEntry" localSheetId="1">timesheet_bk!$C$4:$D$10,timesheet_bk!$F$4:$G$10,timesheet_bk!$J$4:$J$10,timesheet_bk!$J$15:$J$21,timesheet_bk!$F$15:$G$21,timesheet_bk!$C$15:$D$21,timesheet_bk!$I$30,timesheet_bk!$I$31,timesheet_bk!$I$32,timesheet_bk!$K$4:$K$10,timesheet_bk!$K$15:$K$21</definedName>
    <definedName name="_xlnm.Print_Area" localSheetId="0">Timesheet!$A$1:$N$37</definedName>
    <definedName name="_xlnm.Print_Area" localSheetId="1">timesheet_bk!$A$1:$N$37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37" l="1"/>
  <c r="R1" i="37"/>
  <c r="K22" i="39"/>
  <c r="J22" i="39"/>
  <c r="I21" i="39"/>
  <c r="I20" i="39"/>
  <c r="I19" i="39"/>
  <c r="I18" i="39"/>
  <c r="I17" i="39"/>
  <c r="I16" i="39"/>
  <c r="I15" i="39"/>
  <c r="I22" i="39" s="1"/>
  <c r="K11" i="39"/>
  <c r="I28" i="39" s="1"/>
  <c r="J11" i="39"/>
  <c r="I27" i="39" s="1"/>
  <c r="I11" i="39"/>
  <c r="I12" i="39" s="1"/>
  <c r="I10" i="39"/>
  <c r="I9" i="39"/>
  <c r="I8" i="39"/>
  <c r="I7" i="39"/>
  <c r="I6" i="39"/>
  <c r="I5" i="39"/>
  <c r="B5" i="39"/>
  <c r="B6" i="39" s="1"/>
  <c r="B7" i="39" s="1"/>
  <c r="B8" i="39" s="1"/>
  <c r="B9" i="39" s="1"/>
  <c r="B10" i="39" s="1"/>
  <c r="B15" i="39" s="1"/>
  <c r="B16" i="39" s="1"/>
  <c r="B17" i="39" s="1"/>
  <c r="B18" i="39" s="1"/>
  <c r="B19" i="39" s="1"/>
  <c r="B20" i="39" s="1"/>
  <c r="B21" i="39" s="1"/>
  <c r="I4" i="39"/>
  <c r="B4" i="39"/>
  <c r="K22" i="37"/>
  <c r="K11" i="37"/>
  <c r="J22" i="37"/>
  <c r="I21" i="37"/>
  <c r="I20" i="37"/>
  <c r="I19" i="37"/>
  <c r="I18" i="37"/>
  <c r="I17" i="37"/>
  <c r="I16" i="37"/>
  <c r="I15" i="37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7" i="37" l="1"/>
  <c r="I26" i="39"/>
  <c r="I24" i="39"/>
  <c r="I23" i="39"/>
  <c r="I13" i="39"/>
  <c r="I28" i="37"/>
  <c r="I22" i="37"/>
  <c r="I23" i="37" s="1"/>
  <c r="I11" i="37"/>
  <c r="I12" i="37" s="1"/>
  <c r="I29" i="39" l="1"/>
  <c r="I24" i="37"/>
  <c r="I13" i="37"/>
  <c r="I26" i="37"/>
  <c r="I29" i="37" l="1"/>
</calcChain>
</file>

<file path=xl/sharedStrings.xml><?xml version="1.0" encoding="utf-8"?>
<sst xmlns="http://schemas.openxmlformats.org/spreadsheetml/2006/main" count="92" uniqueCount="41">
  <si>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</si>
  <si>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</si>
  <si>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</si>
  <si>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</si>
  <si>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</si>
  <si>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</si>
  <si>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</si>
  <si>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</si>
  <si>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</si>
  <si>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</si>
  <si>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</si>
  <si>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</si>
  <si>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</si>
  <si>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</si>
  <si>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</si>
  <si>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</si>
  <si>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</si>
  <si>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</si>
  <si>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</si>
  <si>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</si>
  <si>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</si>
  <si>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</si>
  <si>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</si>
  <si>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</si>
  <si>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</si>
  <si>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</si>
  <si>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</si>
  <si>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</si>
  <si>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</si>
  <si>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</si>
  <si>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</si>
  <si>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</si>
  <si>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r>
      <t xml:space="preserve">Remote
</t>
    </r>
    <r>
      <rPr>
        <b/>
        <sz val="7"/>
        <color rgb="FF305496"/>
        <rFont val="Arial"/>
        <family val="2"/>
      </rPr>
      <t>(MSP)</t>
    </r>
  </si>
  <si>
    <t>Total Remote</t>
  </si>
  <si>
    <t>v3.9</t>
  </si>
  <si>
    <t>v3.9.2</t>
  </si>
  <si>
    <r>
      <rPr>
        <b/>
        <sz val="9"/>
        <rFont val="Source Code Pro"/>
        <family val="3"/>
      </rPr>
      <t>In</t>
    </r>
    <r>
      <rPr>
        <b/>
        <sz val="8"/>
        <rFont val="Source Code Pro"/>
        <family val="3"/>
      </rPr>
      <t xml:space="preserve">
</t>
    </r>
    <r>
      <rPr>
        <b/>
        <sz val="6"/>
        <color theme="4" tint="-0.249977111117893"/>
        <rFont val="Source Code Pro"/>
        <family val="3"/>
      </rPr>
      <t>hh:mm AM/PM</t>
    </r>
  </si>
  <si>
    <r>
      <rPr>
        <b/>
        <sz val="9"/>
        <rFont val="Source Code Pro"/>
        <family val="3"/>
      </rPr>
      <t>Out</t>
    </r>
    <r>
      <rPr>
        <b/>
        <sz val="8"/>
        <rFont val="Source Code Pro"/>
        <family val="3"/>
      </rPr>
      <t xml:space="preserve">
</t>
    </r>
    <r>
      <rPr>
        <b/>
        <sz val="6"/>
        <color theme="4" tint="-0.249977111117893"/>
        <rFont val="Source Code Pro"/>
        <family val="3"/>
      </rPr>
      <t>hh:mm AM/PM</t>
    </r>
  </si>
  <si>
    <r>
      <t xml:space="preserve">In
</t>
    </r>
    <r>
      <rPr>
        <b/>
        <sz val="6"/>
        <color theme="4" tint="-0.249977111117893"/>
        <rFont val="Source Code Pro"/>
        <family val="3"/>
      </rPr>
      <t>hh:mm AM/PM</t>
    </r>
  </si>
  <si>
    <r>
      <t xml:space="preserve">Out
</t>
    </r>
    <r>
      <rPr>
        <b/>
        <sz val="6"/>
        <color theme="4" tint="-0.249977111117893"/>
        <rFont val="Source Code Pro"/>
        <family val="3"/>
      </rPr>
      <t>hh:mm AM/PM</t>
    </r>
  </si>
  <si>
    <r>
      <t xml:space="preserve">Remote
</t>
    </r>
    <r>
      <rPr>
        <b/>
        <sz val="7"/>
        <color rgb="FF305496"/>
        <rFont val="Source Code Pro"/>
        <family val="3"/>
      </rPr>
      <t>(MSP)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</si>
</sst>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-409]h:mm\ AM/PM;@"/>
    <numFmt numFmtId="165" formatCode="m/d/yy;@"/>
    <numFmt numFmtId="168" formatCode="mm/dd/yyyy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  <font>
      <b/>
      <sz val="7"/>
      <color rgb="FF305496"/>
      <name val="Arial"/>
      <family val="2"/>
    </font>
    <font>
      <u/>
      <sz val="11"/>
      <color theme="10"/>
      <name val="Calibri"/>
      <family val="2"/>
      <scheme val="minor"/>
    </font>
    <font>
      <sz val="9"/>
      <color theme="1"/>
      <name val="Source Code Pro"/>
      <family val="3"/>
    </font>
    <font>
      <b/>
      <sz val="12"/>
      <color theme="1"/>
      <name val="Source Code Pro"/>
      <family val="3"/>
    </font>
    <font>
      <b/>
      <sz val="14"/>
      <color rgb="FFBCBCBC"/>
      <name val="Source Code Pro"/>
      <family val="3"/>
    </font>
    <font>
      <sz val="10"/>
      <color theme="1"/>
      <name val="Source Code Pro"/>
      <family val="3"/>
    </font>
    <font>
      <sz val="11"/>
      <color theme="1"/>
      <name val="Source Code Pro"/>
      <family val="3"/>
    </font>
    <font>
      <u/>
      <sz val="11"/>
      <color theme="10"/>
      <name val="Source Code Pro"/>
      <family val="3"/>
    </font>
    <font>
      <b/>
      <sz val="9"/>
      <color theme="1"/>
      <name val="Source Code Pro"/>
      <family val="3"/>
    </font>
    <font>
      <b/>
      <sz val="9"/>
      <name val="Source Code Pro"/>
      <family val="3"/>
    </font>
    <font>
      <b/>
      <sz val="8"/>
      <name val="Source Code Pro"/>
      <family val="3"/>
    </font>
    <font>
      <b/>
      <sz val="6"/>
      <color theme="4" tint="-0.249977111117893"/>
      <name val="Source Code Pro"/>
      <family val="3"/>
    </font>
    <font>
      <b/>
      <sz val="7"/>
      <color rgb="FF305496"/>
      <name val="Source Code Pro"/>
      <family val="3"/>
    </font>
    <font>
      <sz val="8"/>
      <color theme="1"/>
      <name val="Source Code Pro"/>
      <family val="3"/>
    </font>
    <font>
      <b/>
      <sz val="7.5"/>
      <color theme="1"/>
      <name val="Source Code Pro"/>
      <family val="3"/>
    </font>
    <font>
      <b/>
      <sz val="7.5"/>
      <name val="Source Code Pro"/>
      <family val="3"/>
    </font>
    <font>
      <sz val="8"/>
      <color rgb="FF808080"/>
      <name val="Source Code Pro"/>
      <family val="3"/>
    </font>
    <font>
      <sz val="7.5"/>
      <color theme="1"/>
      <name val="Source Code Pro"/>
      <family val="3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36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6" tint="0.39997558519241921"/>
      </right>
      <top/>
      <bottom/>
      <diagonal/>
    </border>
    <border>
      <left/>
      <right style="thin">
        <color rgb="FFBCBCBC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24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0" fontId="5" fillId="0" borderId="29" xfId="0" applyFont="1" applyBorder="1"/>
    <xf numFmtId="14" fontId="0" fillId="0" borderId="0" xfId="0" applyNumberFormat="1"/>
    <xf numFmtId="2" fontId="13" fillId="7" borderId="33" xfId="0" applyNumberFormat="1" applyFont="1" applyFill="1" applyBorder="1" applyAlignment="1" applyProtection="1">
      <alignment horizontal="right" vertical="center"/>
      <protection locked="0" hidden="1"/>
    </xf>
    <xf numFmtId="0" fontId="13" fillId="0" borderId="0" xfId="0" applyFont="1"/>
    <xf numFmtId="0" fontId="0" fillId="0" borderId="0" xfId="0" applyNumberFormat="1" applyProtection="1">
      <protection hidden="1"/>
    </xf>
    <xf numFmtId="0" fontId="11" fillId="0" borderId="13" xfId="0" applyFont="1" applyBorder="1" applyAlignment="1">
      <alignment horizontal="left" vertical="center"/>
    </xf>
    <xf numFmtId="0" fontId="9" fillId="9" borderId="0" xfId="0" applyFont="1" applyFill="1" applyAlignment="1">
      <alignment horizontal="center" vertical="center" wrapText="1"/>
    </xf>
    <xf numFmtId="2" fontId="13" fillId="8" borderId="1" xfId="2" applyNumberFormat="1" applyFont="1" applyFill="1" applyBorder="1" applyAlignment="1">
      <alignment vertical="center"/>
    </xf>
    <xf numFmtId="0" fontId="13" fillId="7" borderId="6" xfId="2" applyNumberFormat="1" applyFont="1" applyFill="1" applyBorder="1" applyAlignment="1">
      <alignment vertical="center"/>
    </xf>
    <xf numFmtId="2" fontId="8" fillId="5" borderId="5" xfId="1" applyNumberFormat="1" applyFont="1" applyFill="1" applyBorder="1" applyAlignment="1" applyProtection="1">
      <alignment horizontal="right" vertical="center"/>
      <protection hidden="1"/>
    </xf>
    <xf numFmtId="2" fontId="13" fillId="7" borderId="20" xfId="2" applyNumberFormat="1" applyFont="1" applyFill="1" applyBorder="1" applyAlignment="1" applyProtection="1">
      <alignment horizontal="right" vertical="center"/>
      <protection hidden="1"/>
    </xf>
    <xf numFmtId="2" fontId="13" fillId="7" borderId="24" xfId="0" applyNumberFormat="1" applyFont="1" applyFill="1" applyBorder="1" applyAlignment="1" applyProtection="1">
      <alignment horizontal="right" vertical="center"/>
      <protection hidden="1"/>
    </xf>
    <xf numFmtId="2" fontId="13" fillId="8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0" xfId="0" applyNumberFormat="1" applyFont="1" applyFill="1" applyBorder="1" applyAlignment="1" applyProtection="1">
      <alignment horizontal="right" vertical="center"/>
      <protection locked="0" hidden="1"/>
    </xf>
    <xf numFmtId="164" fontId="13" fillId="7" borderId="5" xfId="2" applyNumberFormat="1" applyFont="1" applyFill="1" applyBorder="1" applyAlignment="1" applyProtection="1">
      <alignment horizontal="right" vertical="center"/>
      <protection locked="0"/>
    </xf>
    <xf numFmtId="164" fontId="13" fillId="8" borderId="4" xfId="2" applyNumberFormat="1" applyFont="1" applyFill="1" applyBorder="1" applyAlignment="1" applyProtection="1">
      <alignment horizontal="right" vertical="center"/>
      <protection locked="0"/>
    </xf>
    <xf numFmtId="164" fontId="13" fillId="7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4" xfId="0" applyNumberFormat="1" applyFont="1" applyFill="1" applyBorder="1" applyAlignment="1" applyProtection="1">
      <alignment horizontal="right" vertical="center"/>
      <protection hidden="1"/>
    </xf>
    <xf numFmtId="44" fontId="13" fillId="7" borderId="21" xfId="0" applyNumberFormat="1" applyFont="1" applyFill="1" applyBorder="1" applyAlignment="1" applyProtection="1">
      <alignment horizontal="right" vertical="center"/>
      <protection hidden="1"/>
    </xf>
    <xf numFmtId="2" fontId="9" fillId="9" borderId="1" xfId="0" applyNumberFormat="1" applyFont="1" applyFill="1" applyBorder="1" applyAlignment="1" applyProtection="1">
      <alignment horizontal="right" vertical="center"/>
      <protection hidden="1"/>
    </xf>
    <xf numFmtId="2" fontId="13" fillId="7" borderId="1" xfId="0" applyNumberFormat="1" applyFont="1" applyFill="1" applyBorder="1" applyAlignment="1" applyProtection="1">
      <alignment horizontal="right" vertical="center"/>
      <protection locked="0"/>
    </xf>
    <xf numFmtId="0" fontId="15" fillId="5" borderId="0" xfId="0" applyFont="1" applyFill="1" applyBorder="1" applyAlignment="1">
      <alignment horizontal="right" vertical="center"/>
    </xf>
    <xf numFmtId="0" fontId="15" fillId="5" borderId="35" xfId="0" applyFont="1" applyFill="1" applyBorder="1" applyAlignment="1">
      <alignment horizontal="righ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11" fillId="0" borderId="13" xfId="0" applyFont="1" applyBorder="1" applyAlignment="1">
      <alignment horizontal="left" vertical="center"/>
    </xf>
    <xf numFmtId="0" fontId="11" fillId="0" borderId="31" xfId="0" applyFont="1" applyBorder="1" applyAlignment="1">
      <alignment horizontal="left" vertical="center"/>
    </xf>
    <xf numFmtId="0" fontId="13" fillId="0" borderId="14" xfId="0" applyFont="1" applyBorder="1" applyAlignment="1">
      <alignment horizontal="right" vertical="center"/>
    </xf>
    <xf numFmtId="0" fontId="13" fillId="0" borderId="32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168" fontId="18" fillId="6" borderId="1" xfId="2" applyNumberFormat="1" applyFont="1" applyFill="1" applyBorder="1" applyAlignment="1" applyProtection="1">
      <alignment horizontal="center" vertical="center"/>
      <protection hidden="1"/>
    </xf>
    <xf numFmtId="168" fontId="18" fillId="6" borderId="5" xfId="2" applyNumberFormat="1" applyFont="1" applyFill="1" applyBorder="1" applyAlignment="1" applyProtection="1">
      <alignment horizontal="center" vertical="center"/>
      <protection hidden="1"/>
    </xf>
    <xf numFmtId="0" fontId="19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168" fontId="21" fillId="0" borderId="0" xfId="0" applyNumberFormat="1" applyFont="1" applyAlignment="1" applyProtection="1">
      <alignment horizontal="left" vertical="center"/>
      <protection locked="0"/>
    </xf>
    <xf numFmtId="0" fontId="22" fillId="0" borderId="0" xfId="0" applyNumberFormat="1" applyFont="1" applyProtection="1">
      <protection hidden="1"/>
    </xf>
    <xf numFmtId="0" fontId="23" fillId="0" borderId="0" xfId="4" applyFont="1" applyProtection="1">
      <protection hidden="1"/>
    </xf>
    <xf numFmtId="0" fontId="24" fillId="5" borderId="21" xfId="2" applyNumberFormat="1" applyFont="1" applyFill="1" applyBorder="1" applyAlignment="1">
      <alignment horizontal="left" vertical="center"/>
    </xf>
    <xf numFmtId="0" fontId="24" fillId="5" borderId="5" xfId="2" applyNumberFormat="1" applyFont="1" applyFill="1" applyBorder="1" applyAlignment="1">
      <alignment horizontal="left" vertical="center"/>
    </xf>
    <xf numFmtId="0" fontId="25" fillId="5" borderId="0" xfId="3" applyFont="1" applyFill="1" applyAlignment="1">
      <alignment horizontal="center" vertical="center"/>
    </xf>
    <xf numFmtId="0" fontId="26" fillId="5" borderId="0" xfId="3" applyFont="1" applyFill="1" applyAlignment="1">
      <alignment horizontal="center" vertical="center" wrapText="1"/>
    </xf>
    <xf numFmtId="0" fontId="25" fillId="5" borderId="0" xfId="3" applyFont="1" applyFill="1" applyAlignment="1">
      <alignment horizontal="center" vertical="center" wrapText="1"/>
    </xf>
    <xf numFmtId="0" fontId="25" fillId="5" borderId="22" xfId="3" applyFont="1" applyFill="1" applyBorder="1" applyAlignment="1">
      <alignment horizontal="center" vertical="center" wrapText="1"/>
    </xf>
    <xf numFmtId="0" fontId="25" fillId="5" borderId="23" xfId="1" applyFont="1" applyFill="1" applyBorder="1" applyAlignment="1">
      <alignment horizontal="center" vertical="center"/>
    </xf>
    <xf numFmtId="0" fontId="25" fillId="5" borderId="0" xfId="1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 wrapText="1"/>
    </xf>
    <xf numFmtId="2" fontId="29" fillId="7" borderId="5" xfId="2" applyNumberFormat="1" applyFont="1" applyFill="1" applyBorder="1" applyAlignment="1" applyProtection="1">
      <alignment horizontal="right" vertical="center"/>
      <protection hidden="1"/>
    </xf>
    <xf numFmtId="2" fontId="25" fillId="5" borderId="5" xfId="1" applyNumberFormat="1" applyFont="1" applyFill="1" applyBorder="1" applyAlignment="1" applyProtection="1">
      <alignment horizontal="right" vertical="center"/>
      <protection hidden="1"/>
    </xf>
    <xf numFmtId="2" fontId="29" fillId="7" borderId="20" xfId="2" applyNumberFormat="1" applyFont="1" applyFill="1" applyBorder="1" applyAlignment="1" applyProtection="1">
      <alignment horizontal="right" vertical="center"/>
      <protection hidden="1"/>
    </xf>
    <xf numFmtId="2" fontId="29" fillId="7" borderId="24" xfId="0" applyNumberFormat="1" applyFont="1" applyFill="1" applyBorder="1" applyAlignment="1" applyProtection="1">
      <alignment horizontal="right" vertical="center"/>
      <protection hidden="1"/>
    </xf>
    <xf numFmtId="2" fontId="25" fillId="5" borderId="1" xfId="1" applyNumberFormat="1" applyFont="1" applyFill="1" applyBorder="1" applyAlignment="1" applyProtection="1">
      <alignment horizontal="right" vertical="center"/>
      <protection hidden="1"/>
    </xf>
    <xf numFmtId="2" fontId="24" fillId="9" borderId="1" xfId="0" applyNumberFormat="1" applyFont="1" applyFill="1" applyBorder="1" applyAlignment="1" applyProtection="1">
      <alignment horizontal="right" vertical="center"/>
      <protection hidden="1"/>
    </xf>
    <xf numFmtId="2" fontId="29" fillId="7" borderId="19" xfId="0" applyNumberFormat="1" applyFont="1" applyFill="1" applyBorder="1" applyAlignment="1" applyProtection="1">
      <alignment horizontal="right" vertical="center"/>
      <protection hidden="1"/>
    </xf>
    <xf numFmtId="2" fontId="29" fillId="7" borderId="17" xfId="2" applyNumberFormat="1" applyFont="1" applyFill="1" applyBorder="1" applyAlignment="1" applyProtection="1">
      <alignment horizontal="right" vertical="center"/>
      <protection hidden="1"/>
    </xf>
    <xf numFmtId="2" fontId="29" fillId="7" borderId="27" xfId="0" applyNumberFormat="1" applyFont="1" applyFill="1" applyBorder="1" applyAlignment="1" applyProtection="1">
      <alignment horizontal="right" vertical="center"/>
      <protection hidden="1"/>
    </xf>
    <xf numFmtId="2" fontId="29" fillId="7" borderId="34" xfId="0" applyNumberFormat="1" applyFont="1" applyFill="1" applyBorder="1" applyAlignment="1" applyProtection="1">
      <alignment horizontal="right" vertical="center"/>
      <protection hidden="1"/>
    </xf>
    <xf numFmtId="2" fontId="29" fillId="7" borderId="33" xfId="0" applyNumberFormat="1" applyFont="1" applyFill="1" applyBorder="1" applyAlignment="1" applyProtection="1">
      <alignment horizontal="right" vertical="center"/>
      <protection locked="0" hidden="1"/>
    </xf>
    <xf numFmtId="2" fontId="29" fillId="7" borderId="30" xfId="0" applyNumberFormat="1" applyFont="1" applyFill="1" applyBorder="1" applyAlignment="1" applyProtection="1">
      <alignment horizontal="right" vertical="center"/>
      <protection locked="0" hidden="1"/>
    </xf>
    <xf numFmtId="0" fontId="30" fillId="5" borderId="0" xfId="0" applyFont="1" applyFill="1" applyAlignment="1">
      <alignment horizontal="right" vertical="center"/>
    </xf>
    <xf numFmtId="0" fontId="30" fillId="5" borderId="12" xfId="0" applyFont="1" applyFill="1" applyBorder="1" applyAlignment="1">
      <alignment horizontal="right" vertical="center"/>
    </xf>
    <xf numFmtId="0" fontId="30" fillId="5" borderId="0" xfId="0" applyFont="1" applyFill="1" applyBorder="1" applyAlignment="1">
      <alignment horizontal="right" vertical="center"/>
    </xf>
    <xf numFmtId="0" fontId="30" fillId="5" borderId="35" xfId="0" applyFont="1" applyFill="1" applyBorder="1" applyAlignment="1">
      <alignment horizontal="right" vertical="center"/>
    </xf>
    <xf numFmtId="0" fontId="31" fillId="5" borderId="0" xfId="1" applyFont="1" applyFill="1" applyBorder="1" applyAlignment="1">
      <alignment horizontal="right" vertical="center"/>
    </xf>
    <xf numFmtId="0" fontId="31" fillId="5" borderId="3" xfId="1" applyFont="1" applyFill="1" applyBorder="1" applyAlignment="1">
      <alignment horizontal="right" vertical="center"/>
    </xf>
    <xf numFmtId="0" fontId="30" fillId="5" borderId="3" xfId="0" applyFont="1" applyFill="1" applyBorder="1" applyAlignment="1">
      <alignment horizontal="right" vertical="center"/>
    </xf>
    <xf numFmtId="164" fontId="29" fillId="7" borderId="1" xfId="2" applyNumberFormat="1" applyFont="1" applyFill="1" applyBorder="1" applyAlignment="1" applyProtection="1">
      <alignment horizontal="right" vertical="center"/>
      <protection locked="0"/>
    </xf>
    <xf numFmtId="164" fontId="29" fillId="8" borderId="4" xfId="2" applyNumberFormat="1" applyFont="1" applyFill="1" applyBorder="1" applyAlignment="1" applyProtection="1">
      <alignment horizontal="right" vertical="center"/>
      <protection locked="0"/>
    </xf>
    <xf numFmtId="164" fontId="29" fillId="7" borderId="5" xfId="2" applyNumberFormat="1" applyFont="1" applyFill="1" applyBorder="1" applyAlignment="1" applyProtection="1">
      <alignment horizontal="right" vertical="center"/>
      <protection locked="0"/>
    </xf>
    <xf numFmtId="2" fontId="29" fillId="8" borderId="1" xfId="2" applyNumberFormat="1" applyFont="1" applyFill="1" applyBorder="1" applyAlignment="1" applyProtection="1">
      <alignment horizontal="right" vertical="center"/>
      <protection locked="0"/>
    </xf>
    <xf numFmtId="2" fontId="29" fillId="7" borderId="1" xfId="0" applyNumberFormat="1" applyFont="1" applyFill="1" applyBorder="1" applyAlignment="1" applyProtection="1">
      <alignment horizontal="right" vertical="center"/>
      <protection locked="0"/>
    </xf>
    <xf numFmtId="0" fontId="32" fillId="0" borderId="13" xfId="0" applyFont="1" applyBorder="1" applyAlignment="1">
      <alignment horizontal="left" vertical="center"/>
    </xf>
    <xf numFmtId="0" fontId="32" fillId="0" borderId="31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19" fillId="0" borderId="0" xfId="0" applyFont="1" applyAlignment="1" applyProtection="1">
      <alignment horizontal="left" vertical="center"/>
      <protection locked="0"/>
    </xf>
    <xf numFmtId="44" fontId="33" fillId="7" borderId="28" xfId="0" applyNumberFormat="1" applyFont="1" applyFill="1" applyBorder="1" applyAlignment="1" applyProtection="1">
      <alignment horizontal="right" vertical="center"/>
      <protection hidden="1"/>
    </xf>
    <xf numFmtId="44" fontId="33" fillId="7" borderId="21" xfId="0" applyNumberFormat="1" applyFont="1" applyFill="1" applyBorder="1" applyAlignment="1" applyProtection="1">
      <alignment horizontal="right" vertical="center"/>
      <protection hidden="1"/>
    </xf>
  </cellXfs>
  <cellStyles count="5">
    <cellStyle name="20% - Accent1" xfId="2" builtinId="30"/>
    <cellStyle name="Accent1" xfId="1" builtinId="29"/>
    <cellStyle name="Accent3" xfId="3" builtinId="37"/>
    <cellStyle name="Hyperlink" xfId="4" builtinId="8"/>
    <cellStyle name="Normal" xfId="0" builtinId="0"/>
  </cellStyles>
  <dxfs count="0"/>
  <tableStyles count="0" defaultTableStyle="TableStyleMedium2" defaultPivotStyle="PivotStyleLight16"/>
  <colors>
    <mruColors>
      <color rgb="FFBCBCBC"/>
      <color rgb="FF305496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3793" name="CopyNClear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3794" name="Check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3795" name="CheckBox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3796" name="CheckBox3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3797" name="CheckBox4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1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3798" name="CheckBox5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1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3799" name="CheckBox6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1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3800" name="CheckBox7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1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3801" name="CheckBox8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1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3802" name="CheckBox9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1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3803" name="CheckBox10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1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3804" name="CheckBox11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1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3805" name="CheckBox12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1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3806" name="CheckBox13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1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3807" name="CheckBox14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1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3808" name="CheckBox15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1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3809" name="CheckBox16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1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3810" name="CheckBox17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1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3811" name="CheckBox18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1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3812" name="CheckBox19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1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3813" name="CheckBox20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1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3814" name="CheckBox21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1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3815" name="CheckBox22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1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3816" name="CheckBox23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1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3817" name="CheckBox24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1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3818" name="CheckBox25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1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3819" name="CheckBox26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1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3820" name="CheckBox27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1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3821" name="CheckBox28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1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3822" name="CheckBox29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1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3823" name="CheckBox30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1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3824" name="CheckBox31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1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3825" name="CheckBox32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1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3826" name="CheckBox33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1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3827" name="CheckBox34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1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3828" name="CheckBox35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1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3829" name="CheckBox36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01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3830" name="CheckBox37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01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3831" name="CheckBox38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01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3832" name="CheckBox39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01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3833" name="CheckBox40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01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3834" name="CheckBox41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01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3835" name="CheckBox42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01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control" Target="../activeX/activeX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control" Target="../activeX/activeX52.xml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5.xml"/><Relationship Id="rId39" Type="http://schemas.openxmlformats.org/officeDocument/2006/relationships/control" Target="../activeX/activeX78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60.xml"/><Relationship Id="rId34" Type="http://schemas.openxmlformats.org/officeDocument/2006/relationships/control" Target="../activeX/activeX73.xml"/><Relationship Id="rId42" Type="http://schemas.openxmlformats.org/officeDocument/2006/relationships/control" Target="../activeX/activeX81.xml"/><Relationship Id="rId47" Type="http://schemas.openxmlformats.org/officeDocument/2006/relationships/control" Target="../activeX/activeX86.xml"/><Relationship Id="rId7" Type="http://schemas.openxmlformats.org/officeDocument/2006/relationships/control" Target="../activeX/activeX46.xml"/><Relationship Id="rId12" Type="http://schemas.openxmlformats.org/officeDocument/2006/relationships/control" Target="../activeX/activeX51.xml"/><Relationship Id="rId17" Type="http://schemas.openxmlformats.org/officeDocument/2006/relationships/control" Target="../activeX/activeX56.xml"/><Relationship Id="rId25" Type="http://schemas.openxmlformats.org/officeDocument/2006/relationships/control" Target="../activeX/activeX64.xml"/><Relationship Id="rId33" Type="http://schemas.openxmlformats.org/officeDocument/2006/relationships/control" Target="../activeX/activeX72.xml"/><Relationship Id="rId38" Type="http://schemas.openxmlformats.org/officeDocument/2006/relationships/control" Target="../activeX/activeX77.xml"/><Relationship Id="rId46" Type="http://schemas.openxmlformats.org/officeDocument/2006/relationships/control" Target="../activeX/activeX8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8.xml"/><Relationship Id="rId41" Type="http://schemas.openxmlformats.org/officeDocument/2006/relationships/control" Target="../activeX/activeX8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5.xml"/><Relationship Id="rId11" Type="http://schemas.openxmlformats.org/officeDocument/2006/relationships/control" Target="../activeX/activeX50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71.xml"/><Relationship Id="rId37" Type="http://schemas.openxmlformats.org/officeDocument/2006/relationships/control" Target="../activeX/activeX76.xml"/><Relationship Id="rId40" Type="http://schemas.openxmlformats.org/officeDocument/2006/relationships/control" Target="../activeX/activeX79.xml"/><Relationship Id="rId45" Type="http://schemas.openxmlformats.org/officeDocument/2006/relationships/control" Target="../activeX/activeX84.xml"/><Relationship Id="rId5" Type="http://schemas.openxmlformats.org/officeDocument/2006/relationships/image" Target="../media/image2.emf"/><Relationship Id="rId15" Type="http://schemas.openxmlformats.org/officeDocument/2006/relationships/control" Target="../activeX/activeX54.xml"/><Relationship Id="rId23" Type="http://schemas.openxmlformats.org/officeDocument/2006/relationships/control" Target="../activeX/activeX62.xml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5.xml"/><Relationship Id="rId10" Type="http://schemas.openxmlformats.org/officeDocument/2006/relationships/control" Target="../activeX/activeX49.xml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70.xml"/><Relationship Id="rId44" Type="http://schemas.openxmlformats.org/officeDocument/2006/relationships/control" Target="../activeX/activeX8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8.xml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6.xml"/><Relationship Id="rId30" Type="http://schemas.openxmlformats.org/officeDocument/2006/relationships/control" Target="../activeX/activeX69.xml"/><Relationship Id="rId35" Type="http://schemas.openxmlformats.org/officeDocument/2006/relationships/control" Target="../activeX/activeX74.xml"/><Relationship Id="rId43" Type="http://schemas.openxmlformats.org/officeDocument/2006/relationships/control" Target="../activeX/activeX82.xml"/><Relationship Id="rId4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R37"/>
  <sheetViews>
    <sheetView showGridLines="0" tabSelected="1" zoomScaleNormal="100" workbookViewId="0">
      <pane ySplit="3" topLeftCell="A4" activePane="bottomLeft" state="frozen"/>
      <selection pane="bottomLeft" activeCell="C2" sqref="C2:D2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  <col min="18" max="18" width="39.85546875" customWidth="1"/>
  </cols>
  <sheetData>
    <row r="1" spans="1:18" ht="18" customHeight="1" x14ac:dyDescent="0.45">
      <c r="A1" s="79" t="s">
        <v>0</v>
      </c>
      <c r="B1" s="121"/>
      <c r="C1" s="121"/>
      <c r="D1" s="121"/>
      <c r="E1" s="121"/>
      <c r="F1" s="121"/>
      <c r="G1" s="81" t="s">
        <v>1</v>
      </c>
      <c r="H1" s="81"/>
      <c r="Q1" s="83" t="s">
        <v>35</v>
      </c>
      <c r="R1" s="84" t="str">
        <f>HYPERLINK("https://github.com/mbussardcc/cctimesheets/releases","Github link for latest release")</f>
        <v>Github link for latest release</v>
      </c>
    </row>
    <row r="2" spans="1:18" ht="15" customHeight="1" x14ac:dyDescent="0.25">
      <c r="A2" s="80" t="s">
        <v>2</v>
      </c>
      <c r="B2" s="80"/>
      <c r="C2" s="82">
        <v>44626</v>
      </c>
      <c r="D2" s="82"/>
      <c r="E2" s="13"/>
      <c r="F2" s="13"/>
    </row>
    <row r="3" spans="1:18" ht="28.5" customHeight="1" x14ac:dyDescent="0.25">
      <c r="A3" s="87" t="s">
        <v>3</v>
      </c>
      <c r="B3" s="87" t="s">
        <v>4</v>
      </c>
      <c r="C3" s="88" t="s">
        <v>36</v>
      </c>
      <c r="D3" s="88" t="s">
        <v>37</v>
      </c>
      <c r="E3" s="87" t="s">
        <v>7</v>
      </c>
      <c r="F3" s="89" t="s">
        <v>38</v>
      </c>
      <c r="G3" s="90" t="s">
        <v>39</v>
      </c>
      <c r="H3" s="42"/>
      <c r="I3" s="91" t="s">
        <v>10</v>
      </c>
      <c r="J3" s="92" t="s">
        <v>11</v>
      </c>
      <c r="K3" s="93" t="s">
        <v>40</v>
      </c>
      <c r="L3" s="92" t="s">
        <v>12</v>
      </c>
      <c r="M3" s="92" t="s">
        <v>13</v>
      </c>
      <c r="N3" s="92" t="s">
        <v>14</v>
      </c>
    </row>
    <row r="4" spans="1:18" x14ac:dyDescent="0.25">
      <c r="A4" s="85" t="s">
        <v>15</v>
      </c>
      <c r="B4" s="78">
        <f>C2</f>
        <v>44626</v>
      </c>
      <c r="C4" s="113"/>
      <c r="D4" s="114"/>
      <c r="E4" s="11"/>
      <c r="F4" s="115"/>
      <c r="G4" s="114"/>
      <c r="H4" s="14"/>
      <c r="I4" s="94">
        <f>((TIME(HOUR(D4),MINUTE(D4),SECOND(D4))-(TIME(HOUR(C4),MINUTE(C4),SECOND(C4))))+(TIME(HOUR(G4),MINUTE(G4),SECOND(G4))-(TIME(HOUR(F4),MINUTE(F4),SECOND(F4)))))*24</f>
        <v>0</v>
      </c>
      <c r="J4" s="116"/>
      <c r="K4" s="117"/>
      <c r="L4" s="16"/>
      <c r="M4" s="15"/>
      <c r="N4" s="16"/>
    </row>
    <row r="5" spans="1:18" x14ac:dyDescent="0.25">
      <c r="A5" s="85" t="s">
        <v>16</v>
      </c>
      <c r="B5" s="78">
        <f>B4+1</f>
        <v>44627</v>
      </c>
      <c r="C5" s="113"/>
      <c r="D5" s="114"/>
      <c r="E5" s="11"/>
      <c r="F5" s="115"/>
      <c r="G5" s="114"/>
      <c r="H5" s="2"/>
      <c r="I5" s="94">
        <f>((TIME(HOUR(D5),MINUTE(D5),SECOND(D5))-(TIME(HOUR(C5),MINUTE(C5),SECOND(C5))))+(TIME(HOUR(G5),MINUTE(G5),SECOND(G5))-(TIME(HOUR(F5),MINUTE(F5),SECOND(F5)))))*24</f>
        <v>0</v>
      </c>
      <c r="J5" s="116"/>
      <c r="K5" s="117"/>
      <c r="L5" s="16"/>
      <c r="M5" s="15"/>
      <c r="N5" s="16"/>
      <c r="O5" s="40"/>
    </row>
    <row r="6" spans="1:18" x14ac:dyDescent="0.25">
      <c r="A6" s="85" t="s">
        <v>17</v>
      </c>
      <c r="B6" s="78">
        <f t="shared" ref="B6:B10" si="0">B5+1</f>
        <v>44628</v>
      </c>
      <c r="C6" s="113"/>
      <c r="D6" s="114"/>
      <c r="E6" s="11"/>
      <c r="F6" s="115"/>
      <c r="G6" s="114"/>
      <c r="H6" s="2"/>
      <c r="I6" s="94">
        <f t="shared" ref="I6:I10" si="1">((TIME(HOUR(D6),MINUTE(D6),SECOND(D6))-(TIME(HOUR(C6),MINUTE(C6),SECOND(C6))))+(TIME(HOUR(G6),MINUTE(G6),SECOND(G6))-(TIME(HOUR(F6),MINUTE(F6),SECOND(F6)))))*24</f>
        <v>0</v>
      </c>
      <c r="J6" s="116"/>
      <c r="K6" s="117"/>
      <c r="L6" s="16"/>
      <c r="M6" s="15"/>
      <c r="N6" s="16"/>
    </row>
    <row r="7" spans="1:18" x14ac:dyDescent="0.25">
      <c r="A7" s="85" t="s">
        <v>18</v>
      </c>
      <c r="B7" s="78">
        <f t="shared" si="0"/>
        <v>44629</v>
      </c>
      <c r="C7" s="113"/>
      <c r="D7" s="114"/>
      <c r="E7" s="11"/>
      <c r="F7" s="115"/>
      <c r="G7" s="114"/>
      <c r="H7" s="2"/>
      <c r="I7" s="94">
        <f t="shared" si="1"/>
        <v>0</v>
      </c>
      <c r="J7" s="116"/>
      <c r="K7" s="117"/>
      <c r="L7" s="16"/>
      <c r="M7" s="15"/>
      <c r="N7" s="16"/>
    </row>
    <row r="8" spans="1:18" x14ac:dyDescent="0.25">
      <c r="A8" s="85" t="s">
        <v>19</v>
      </c>
      <c r="B8" s="78">
        <f t="shared" si="0"/>
        <v>44630</v>
      </c>
      <c r="C8" s="113"/>
      <c r="D8" s="114"/>
      <c r="E8" s="11"/>
      <c r="F8" s="115"/>
      <c r="G8" s="114"/>
      <c r="H8" s="2"/>
      <c r="I8" s="94">
        <f>((TIME(HOUR(D8),MINUTE(D8),SECOND(D8))-(TIME(HOUR(C8),MINUTE(C8),SECOND(C8))))+(TIME(HOUR(G8),MINUTE(G8),SECOND(G8))-(TIME(HOUR(F8),MINUTE(F8),SECOND(F8)))))*24</f>
        <v>0</v>
      </c>
      <c r="J8" s="116"/>
      <c r="K8" s="117"/>
      <c r="L8" s="46"/>
      <c r="M8" s="15"/>
      <c r="N8" s="16"/>
    </row>
    <row r="9" spans="1:18" x14ac:dyDescent="0.25">
      <c r="A9" s="85" t="s">
        <v>20</v>
      </c>
      <c r="B9" s="78">
        <f t="shared" si="0"/>
        <v>44631</v>
      </c>
      <c r="C9" s="113"/>
      <c r="D9" s="114"/>
      <c r="E9" s="11"/>
      <c r="F9" s="115"/>
      <c r="G9" s="114"/>
      <c r="H9" s="2"/>
      <c r="I9" s="94">
        <f t="shared" si="1"/>
        <v>0</v>
      </c>
      <c r="J9" s="116"/>
      <c r="K9" s="117"/>
      <c r="L9" s="46"/>
      <c r="M9" s="15"/>
      <c r="N9" s="16"/>
    </row>
    <row r="10" spans="1:18" x14ac:dyDescent="0.25">
      <c r="A10" s="85" t="s">
        <v>21</v>
      </c>
      <c r="B10" s="78">
        <f t="shared" si="0"/>
        <v>44632</v>
      </c>
      <c r="C10" s="113"/>
      <c r="D10" s="114"/>
      <c r="E10" s="11"/>
      <c r="F10" s="115"/>
      <c r="G10" s="114"/>
      <c r="H10" s="3"/>
      <c r="I10" s="94">
        <f t="shared" si="1"/>
        <v>0</v>
      </c>
      <c r="J10" s="116"/>
      <c r="K10" s="117"/>
      <c r="L10" s="46"/>
      <c r="M10" s="47"/>
      <c r="N10" s="16"/>
    </row>
    <row r="11" spans="1:18" x14ac:dyDescent="0.25">
      <c r="A11" s="1"/>
      <c r="B11" s="1"/>
      <c r="C11" s="1"/>
      <c r="D11" s="1"/>
      <c r="E11" s="1"/>
      <c r="F11" s="1"/>
      <c r="G11" s="110" t="s">
        <v>22</v>
      </c>
      <c r="H11" s="110"/>
      <c r="I11" s="95">
        <f>SUM(I4:I10)</f>
        <v>0</v>
      </c>
      <c r="J11" s="98">
        <f>SUM(J4:J10)</f>
        <v>0</v>
      </c>
      <c r="K11" s="99">
        <f>SUM(K4:K10)</f>
        <v>0</v>
      </c>
      <c r="L11" s="18"/>
      <c r="M11" s="27"/>
      <c r="N11" s="19"/>
    </row>
    <row r="12" spans="1:18" x14ac:dyDescent="0.25">
      <c r="A12" s="1"/>
      <c r="B12" s="1"/>
      <c r="C12" s="1"/>
      <c r="D12" s="1"/>
      <c r="E12" s="1"/>
      <c r="F12" s="1"/>
      <c r="G12" s="106" t="s">
        <v>23</v>
      </c>
      <c r="H12" s="106"/>
      <c r="I12" s="96">
        <f>IF(I11&gt;40,40,I11)</f>
        <v>0</v>
      </c>
      <c r="J12" s="1"/>
      <c r="L12" s="1"/>
      <c r="M12" s="1"/>
      <c r="N12" s="1"/>
    </row>
    <row r="13" spans="1:18" x14ac:dyDescent="0.25">
      <c r="A13" s="1"/>
      <c r="B13" s="1"/>
      <c r="C13" s="1"/>
      <c r="D13" s="1"/>
      <c r="E13" s="1"/>
      <c r="F13" s="1"/>
      <c r="G13" s="106" t="s">
        <v>24</v>
      </c>
      <c r="H13" s="106"/>
      <c r="I13" s="97">
        <f>IF(I11&gt;40,I11-40,0)</f>
        <v>0</v>
      </c>
      <c r="J13" s="1"/>
      <c r="L13" s="1"/>
      <c r="M13" s="1"/>
      <c r="N13" s="1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8" x14ac:dyDescent="0.25">
      <c r="A15" s="86" t="s">
        <v>15</v>
      </c>
      <c r="B15" s="77">
        <f>B10+1</f>
        <v>44633</v>
      </c>
      <c r="C15" s="113"/>
      <c r="D15" s="114"/>
      <c r="E15" s="12"/>
      <c r="F15" s="115"/>
      <c r="G15" s="114"/>
      <c r="H15" s="14"/>
      <c r="I15" s="94">
        <f>((TIME(HOUR(D15),MINUTE(D15),SECOND(D15))-(TIME(HOUR(C15),MINUTE(C15),SECOND(C15))))+(TIME(HOUR(G15),MINUTE(G15),SECOND(G15))-(TIME(HOUR(F15),MINUTE(F15),SECOND(F15)))))*24</f>
        <v>0</v>
      </c>
      <c r="J15" s="116"/>
      <c r="K15" s="117"/>
      <c r="L15" s="16"/>
      <c r="M15" s="15"/>
      <c r="N15" s="16"/>
    </row>
    <row r="16" spans="1:18" x14ac:dyDescent="0.25">
      <c r="A16" s="86" t="s">
        <v>16</v>
      </c>
      <c r="B16" s="77">
        <f>B15+1</f>
        <v>44634</v>
      </c>
      <c r="C16" s="113"/>
      <c r="D16" s="114"/>
      <c r="E16" s="12"/>
      <c r="F16" s="115"/>
      <c r="G16" s="114"/>
      <c r="H16" s="2"/>
      <c r="I16" s="94">
        <f>((TIME(HOUR(D16),MINUTE(D16),SECOND(D16))-(TIME(HOUR(C16),MINUTE(C16),SECOND(C16))))+(TIME(HOUR(G16),MINUTE(G16),SECOND(G16))-(TIME(HOUR(F16),MINUTE(F16),SECOND(F16)))))*24</f>
        <v>0</v>
      </c>
      <c r="J16" s="116"/>
      <c r="K16" s="117"/>
      <c r="L16" s="16"/>
      <c r="M16" s="15"/>
      <c r="N16" s="16"/>
    </row>
    <row r="17" spans="1:17" x14ac:dyDescent="0.25">
      <c r="A17" s="86" t="s">
        <v>17</v>
      </c>
      <c r="B17" s="77">
        <f t="shared" ref="B17:B21" si="2">B16+1</f>
        <v>44635</v>
      </c>
      <c r="C17" s="113"/>
      <c r="D17" s="114"/>
      <c r="E17" s="12"/>
      <c r="F17" s="115"/>
      <c r="G17" s="114"/>
      <c r="H17" s="2"/>
      <c r="I17" s="94">
        <f>((TIME(HOUR(D17),MINUTE(D17),SECOND(D17))-(TIME(HOUR(C17),MINUTE(C17),SECOND(C17))))+(TIME(HOUR(G17),MINUTE(G17),SECOND(G17))-(TIME(HOUR(F17),MINUTE(F17),SECOND(F17)))))*24</f>
        <v>0</v>
      </c>
      <c r="J17" s="116"/>
      <c r="K17" s="117"/>
      <c r="L17" s="16"/>
      <c r="M17" s="15"/>
      <c r="N17" s="16"/>
    </row>
    <row r="18" spans="1:17" x14ac:dyDescent="0.25">
      <c r="A18" s="86" t="s">
        <v>18</v>
      </c>
      <c r="B18" s="77">
        <f t="shared" si="2"/>
        <v>44636</v>
      </c>
      <c r="C18" s="113"/>
      <c r="D18" s="114"/>
      <c r="E18" s="12"/>
      <c r="F18" s="115"/>
      <c r="G18" s="114"/>
      <c r="H18" s="2"/>
      <c r="I18" s="94">
        <f t="shared" ref="I18:I21" si="3">((TIME(HOUR(D18),MINUTE(D18),SECOND(D18))-(TIME(HOUR(C18),MINUTE(C18),SECOND(C18))))+(TIME(HOUR(G18),MINUTE(G18),SECOND(G18))-(TIME(HOUR(F18),MINUTE(F18),SECOND(F18)))))*24</f>
        <v>0</v>
      </c>
      <c r="J18" s="116"/>
      <c r="K18" s="117"/>
      <c r="L18" s="16"/>
      <c r="M18" s="15"/>
      <c r="N18" s="16"/>
    </row>
    <row r="19" spans="1:17" x14ac:dyDescent="0.25">
      <c r="A19" s="86" t="s">
        <v>19</v>
      </c>
      <c r="B19" s="77">
        <f t="shared" si="2"/>
        <v>44637</v>
      </c>
      <c r="C19" s="113"/>
      <c r="D19" s="114"/>
      <c r="E19" s="12"/>
      <c r="F19" s="115"/>
      <c r="G19" s="114"/>
      <c r="H19" s="2"/>
      <c r="I19" s="94">
        <f t="shared" si="3"/>
        <v>0</v>
      </c>
      <c r="J19" s="116"/>
      <c r="K19" s="117"/>
      <c r="L19" s="16"/>
      <c r="M19" s="15"/>
      <c r="N19" s="16"/>
    </row>
    <row r="20" spans="1:17" x14ac:dyDescent="0.25">
      <c r="A20" s="86" t="s">
        <v>20</v>
      </c>
      <c r="B20" s="77">
        <f t="shared" si="2"/>
        <v>44638</v>
      </c>
      <c r="C20" s="113"/>
      <c r="D20" s="114"/>
      <c r="E20" s="12"/>
      <c r="F20" s="115"/>
      <c r="G20" s="114"/>
      <c r="H20" s="2"/>
      <c r="I20" s="94">
        <f t="shared" si="3"/>
        <v>0</v>
      </c>
      <c r="J20" s="116"/>
      <c r="K20" s="117"/>
      <c r="L20" s="16"/>
      <c r="M20" s="15"/>
      <c r="N20" s="16"/>
    </row>
    <row r="21" spans="1:17" x14ac:dyDescent="0.25">
      <c r="A21" s="86" t="s">
        <v>21</v>
      </c>
      <c r="B21" s="77">
        <f t="shared" si="2"/>
        <v>44639</v>
      </c>
      <c r="C21" s="113"/>
      <c r="D21" s="114"/>
      <c r="E21" s="12"/>
      <c r="F21" s="115"/>
      <c r="G21" s="114"/>
      <c r="H21" s="4"/>
      <c r="I21" s="94">
        <f t="shared" si="3"/>
        <v>0</v>
      </c>
      <c r="J21" s="116"/>
      <c r="K21" s="117"/>
      <c r="L21" s="16"/>
      <c r="M21" s="47"/>
      <c r="N21" s="16"/>
    </row>
    <row r="22" spans="1:17" x14ac:dyDescent="0.25">
      <c r="A22" s="1"/>
      <c r="B22" s="1"/>
      <c r="C22" s="1"/>
      <c r="D22" s="1"/>
      <c r="E22" s="1"/>
      <c r="F22" s="1"/>
      <c r="G22" s="110" t="s">
        <v>22</v>
      </c>
      <c r="H22" s="111"/>
      <c r="I22" s="98">
        <f>SUM(I15:I21)</f>
        <v>0</v>
      </c>
      <c r="J22" s="98">
        <f>SUM(J15:J21)</f>
        <v>0</v>
      </c>
      <c r="K22" s="9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106" t="s">
        <v>23</v>
      </c>
      <c r="H23" s="112"/>
      <c r="I23" s="10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106" t="s">
        <v>24</v>
      </c>
      <c r="H24" s="106"/>
      <c r="I24" s="100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106" t="s">
        <v>25</v>
      </c>
      <c r="H26" s="107"/>
      <c r="I26" s="102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106" t="s">
        <v>26</v>
      </c>
      <c r="H27" s="107"/>
      <c r="I27" s="122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108" t="s">
        <v>33</v>
      </c>
      <c r="H28" s="109"/>
      <c r="I28" s="123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106" t="s">
        <v>27</v>
      </c>
      <c r="H29" s="107"/>
      <c r="I29" s="103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106" t="s">
        <v>28</v>
      </c>
      <c r="H30" s="106"/>
      <c r="I30" s="104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106" t="s">
        <v>29</v>
      </c>
      <c r="H31" s="106"/>
      <c r="I31" s="105"/>
      <c r="L31" s="1"/>
      <c r="M31" s="1"/>
    </row>
    <row r="32" spans="1:17" x14ac:dyDescent="0.25">
      <c r="A32" s="1"/>
      <c r="B32" s="1"/>
      <c r="C32" s="1"/>
      <c r="D32" s="1"/>
      <c r="E32" s="1"/>
      <c r="G32" s="106" t="s">
        <v>30</v>
      </c>
      <c r="H32" s="106"/>
      <c r="I32" s="105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73"/>
      <c r="H33" s="74"/>
      <c r="I33" s="39"/>
      <c r="J33" s="5"/>
      <c r="K33" s="5"/>
      <c r="L33" s="1"/>
      <c r="M33" s="1"/>
    </row>
    <row r="36" spans="1:13" x14ac:dyDescent="0.25">
      <c r="F36" s="75"/>
      <c r="G36" s="75"/>
      <c r="H36" s="75"/>
      <c r="I36" s="75"/>
      <c r="J36" s="76"/>
      <c r="K36" s="6"/>
    </row>
    <row r="37" spans="1:13" x14ac:dyDescent="0.25">
      <c r="F37" s="118" t="s">
        <v>31</v>
      </c>
      <c r="G37" s="118"/>
      <c r="H37" s="118"/>
      <c r="I37" s="118"/>
      <c r="J37" s="119"/>
      <c r="K37" s="120" t="s">
        <v>4</v>
      </c>
    </row>
  </sheetData>
  <sheetProtection sheet="1" objects="1" scenarios="1"/>
  <mergeCells count="20">
    <mergeCell ref="F37:J37"/>
    <mergeCell ref="G29:H29"/>
    <mergeCell ref="G30:H30"/>
    <mergeCell ref="G31:H31"/>
    <mergeCell ref="G32:H32"/>
    <mergeCell ref="G33:H33"/>
    <mergeCell ref="F36:J36"/>
    <mergeCell ref="G28:H28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5">
    <dataValidation type="decimal" allowBlank="1" showInputMessage="1" showErrorMessage="1" sqref="I30:I32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  <dataValidation type="decimal" allowBlank="1" showInputMessage="1" showErrorMessage="1" sqref="K4:K10 K15:K21" xr:uid="{7B4F3F15-1206-474F-A81A-8B76FE1B8180}">
      <formula1>0</formula1>
      <formula2>24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ignoredErrors>
    <ignoredError sqref="R1" unlockedFormula="1"/>
  </ignoredErrors>
  <drawing r:id="rId2"/>
  <legacyDrawing r:id="rId3"/>
  <controls>
    <mc:AlternateContent xmlns:mc="http://schemas.openxmlformats.org/markup-compatibility/2006">
      <mc:Choice Requires="x14">
        <control shapeId="31745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" name="CopyNClearButton"/>
      </mc:Fallback>
    </mc:AlternateContent>
    <mc:AlternateContent xmlns:mc="http://schemas.openxmlformats.org/markup-compatibility/2006">
      <mc:Choice Requires="x14">
        <control shapeId="31746" r:id="rId6" name="CheckBox1">
          <controlPr defaultSize="0" autoLine="0" r:id="rId7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1746" r:id="rId6" name="CheckBox1"/>
      </mc:Fallback>
    </mc:AlternateContent>
    <mc:AlternateContent xmlns:mc="http://schemas.openxmlformats.org/markup-compatibility/2006">
      <mc:Choice Requires="x14">
        <control shapeId="31747" r:id="rId8" name="CheckBox2">
          <controlPr defaultSize="0" autoLine="0" r:id="rId7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1747" r:id="rId8" name="CheckBox2"/>
      </mc:Fallback>
    </mc:AlternateContent>
    <mc:AlternateContent xmlns:mc="http://schemas.openxmlformats.org/markup-compatibility/2006">
      <mc:Choice Requires="x14">
        <control shapeId="31748" r:id="rId9" name="CheckBox3">
          <controlPr defaultSize="0" autoLine="0" r:id="rId7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48" r:id="rId9" name="CheckBox3"/>
      </mc:Fallback>
    </mc:AlternateContent>
    <mc:AlternateContent xmlns:mc="http://schemas.openxmlformats.org/markup-compatibility/2006">
      <mc:Choice Requires="x14">
        <control shapeId="31749" r:id="rId10" name="CheckBox4">
          <controlPr defaultSize="0" autoLine="0" r:id="rId7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49" r:id="rId10" name="CheckBox4"/>
      </mc:Fallback>
    </mc:AlternateContent>
    <mc:AlternateContent xmlns:mc="http://schemas.openxmlformats.org/markup-compatibility/2006">
      <mc:Choice Requires="x14">
        <control shapeId="31750" r:id="rId11" name="CheckBox5">
          <controlPr defaultSize="0" autoLine="0" r:id="rId7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1750" r:id="rId11" name="CheckBox5"/>
      </mc:Fallback>
    </mc:AlternateContent>
    <mc:AlternateContent xmlns:mc="http://schemas.openxmlformats.org/markup-compatibility/2006">
      <mc:Choice Requires="x14">
        <control shapeId="31751" r:id="rId12" name="CheckBox6">
          <controlPr defaultSize="0" autoLine="0" r:id="rId7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51" r:id="rId12" name="CheckBox6"/>
      </mc:Fallback>
    </mc:AlternateContent>
    <mc:AlternateContent xmlns:mc="http://schemas.openxmlformats.org/markup-compatibility/2006">
      <mc:Choice Requires="x14">
        <control shapeId="31752" r:id="rId13" name="CheckBox7">
          <controlPr defaultSize="0" autoLine="0" r:id="rId7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1752" r:id="rId13" name="CheckBox7"/>
      </mc:Fallback>
    </mc:AlternateContent>
    <mc:AlternateContent xmlns:mc="http://schemas.openxmlformats.org/markup-compatibility/2006">
      <mc:Choice Requires="x14">
        <control shapeId="31753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14" name="CheckBox8"/>
      </mc:Fallback>
    </mc:AlternateContent>
    <mc:AlternateContent xmlns:mc="http://schemas.openxmlformats.org/markup-compatibility/2006">
      <mc:Choice Requires="x14">
        <control shapeId="31754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15" name="CheckBox9"/>
      </mc:Fallback>
    </mc:AlternateContent>
    <mc:AlternateContent xmlns:mc="http://schemas.openxmlformats.org/markup-compatibility/2006">
      <mc:Choice Requires="x14">
        <control shapeId="31755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16" name="CheckBox10"/>
      </mc:Fallback>
    </mc:AlternateContent>
    <mc:AlternateContent xmlns:mc="http://schemas.openxmlformats.org/markup-compatibility/2006">
      <mc:Choice Requires="x14">
        <control shapeId="31756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17" name="CheckBox11"/>
      </mc:Fallback>
    </mc:AlternateContent>
    <mc:AlternateContent xmlns:mc="http://schemas.openxmlformats.org/markup-compatibility/2006">
      <mc:Choice Requires="x14">
        <control shapeId="31757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18" name="CheckBox12"/>
      </mc:Fallback>
    </mc:AlternateContent>
    <mc:AlternateContent xmlns:mc="http://schemas.openxmlformats.org/markup-compatibility/2006">
      <mc:Choice Requires="x14">
        <control shapeId="31758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19" name="CheckBox13"/>
      </mc:Fallback>
    </mc:AlternateContent>
    <mc:AlternateContent xmlns:mc="http://schemas.openxmlformats.org/markup-compatibility/2006">
      <mc:Choice Requires="x14">
        <control shapeId="31759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20" name="CheckBox14"/>
      </mc:Fallback>
    </mc:AlternateContent>
    <mc:AlternateContent xmlns:mc="http://schemas.openxmlformats.org/markup-compatibility/2006">
      <mc:Choice Requires="x14">
        <control shapeId="31760" r:id="rId21" name="CheckBox15">
          <controlPr defaultSize="0" autoLine="0" r:id="rId7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1760" r:id="rId21" name="CheckBox15"/>
      </mc:Fallback>
    </mc:AlternateContent>
    <mc:AlternateContent xmlns:mc="http://schemas.openxmlformats.org/markup-compatibility/2006">
      <mc:Choice Requires="x14">
        <control shapeId="31761" r:id="rId22" name="CheckBox16">
          <controlPr defaultSize="0" autoLine="0" r:id="rId7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1761" r:id="rId22" name="CheckBox16"/>
      </mc:Fallback>
    </mc:AlternateContent>
    <mc:AlternateContent xmlns:mc="http://schemas.openxmlformats.org/markup-compatibility/2006">
      <mc:Choice Requires="x14">
        <control shapeId="31762" r:id="rId23" name="CheckBox17">
          <controlPr defaultSize="0" autoLine="0" r:id="rId7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1762" r:id="rId23" name="CheckBox17"/>
      </mc:Fallback>
    </mc:AlternateContent>
    <mc:AlternateContent xmlns:mc="http://schemas.openxmlformats.org/markup-compatibility/2006">
      <mc:Choice Requires="x14">
        <control shapeId="31763" r:id="rId24" name="CheckBox18">
          <controlPr defaultSize="0" autoLine="0" r:id="rId7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1763" r:id="rId24" name="CheckBox18"/>
      </mc:Fallback>
    </mc:AlternateContent>
    <mc:AlternateContent xmlns:mc="http://schemas.openxmlformats.org/markup-compatibility/2006">
      <mc:Choice Requires="x14">
        <control shapeId="31764" r:id="rId25" name="CheckBox19">
          <controlPr defaultSize="0" autoLine="0" r:id="rId7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1764" r:id="rId25" name="CheckBox19"/>
      </mc:Fallback>
    </mc:AlternateContent>
    <mc:AlternateContent xmlns:mc="http://schemas.openxmlformats.org/markup-compatibility/2006">
      <mc:Choice Requires="x14">
        <control shapeId="31765" r:id="rId26" name="CheckBox20">
          <controlPr defaultSize="0" autoLine="0" r:id="rId7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1765" r:id="rId26" name="CheckBox20"/>
      </mc:Fallback>
    </mc:AlternateContent>
    <mc:AlternateContent xmlns:mc="http://schemas.openxmlformats.org/markup-compatibility/2006">
      <mc:Choice Requires="x14">
        <control shapeId="31766" r:id="rId27" name="CheckBox21">
          <controlPr defaultSize="0" autoLine="0" r:id="rId7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1766" r:id="rId27" name="CheckBox21"/>
      </mc:Fallback>
    </mc:AlternateContent>
    <mc:AlternateContent xmlns:mc="http://schemas.openxmlformats.org/markup-compatibility/2006">
      <mc:Choice Requires="x14">
        <control shapeId="31767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8" name="CheckBox22"/>
      </mc:Fallback>
    </mc:AlternateContent>
    <mc:AlternateContent xmlns:mc="http://schemas.openxmlformats.org/markup-compatibility/2006">
      <mc:Choice Requires="x14">
        <control shapeId="31768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9" name="CheckBox23"/>
      </mc:Fallback>
    </mc:AlternateContent>
    <mc:AlternateContent xmlns:mc="http://schemas.openxmlformats.org/markup-compatibility/2006">
      <mc:Choice Requires="x14">
        <control shapeId="31769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30" name="CheckBox24"/>
      </mc:Fallback>
    </mc:AlternateContent>
    <mc:AlternateContent xmlns:mc="http://schemas.openxmlformats.org/markup-compatibility/2006">
      <mc:Choice Requires="x14">
        <control shapeId="31770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31" name="CheckBox25"/>
      </mc:Fallback>
    </mc:AlternateContent>
    <mc:AlternateContent xmlns:mc="http://schemas.openxmlformats.org/markup-compatibility/2006">
      <mc:Choice Requires="x14">
        <control shapeId="31771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32" name="CheckBox26"/>
      </mc:Fallback>
    </mc:AlternateContent>
    <mc:AlternateContent xmlns:mc="http://schemas.openxmlformats.org/markup-compatibility/2006">
      <mc:Choice Requires="x14">
        <control shapeId="31772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33" name="CheckBox27"/>
      </mc:Fallback>
    </mc:AlternateContent>
    <mc:AlternateContent xmlns:mc="http://schemas.openxmlformats.org/markup-compatibility/2006">
      <mc:Choice Requires="x14">
        <control shapeId="31773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34" name="CheckBox28"/>
      </mc:Fallback>
    </mc:AlternateContent>
    <mc:AlternateContent xmlns:mc="http://schemas.openxmlformats.org/markup-compatibility/2006">
      <mc:Choice Requires="x14">
        <control shapeId="31774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35" name="CheckBox29"/>
      </mc:Fallback>
    </mc:AlternateContent>
    <mc:AlternateContent xmlns:mc="http://schemas.openxmlformats.org/markup-compatibility/2006">
      <mc:Choice Requires="x14">
        <control shapeId="31775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36" name="CheckBox30"/>
      </mc:Fallback>
    </mc:AlternateContent>
    <mc:AlternateContent xmlns:mc="http://schemas.openxmlformats.org/markup-compatibility/2006">
      <mc:Choice Requires="x14">
        <control shapeId="31776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37" name="CheckBox31"/>
      </mc:Fallback>
    </mc:AlternateContent>
    <mc:AlternateContent xmlns:mc="http://schemas.openxmlformats.org/markup-compatibility/2006">
      <mc:Choice Requires="x14">
        <control shapeId="31777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38" name="CheckBox32"/>
      </mc:Fallback>
    </mc:AlternateContent>
    <mc:AlternateContent xmlns:mc="http://schemas.openxmlformats.org/markup-compatibility/2006">
      <mc:Choice Requires="x14">
        <control shapeId="31778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39" name="CheckBox33"/>
      </mc:Fallback>
    </mc:AlternateContent>
    <mc:AlternateContent xmlns:mc="http://schemas.openxmlformats.org/markup-compatibility/2006">
      <mc:Choice Requires="x14">
        <control shapeId="31779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40" name="CheckBox34"/>
      </mc:Fallback>
    </mc:AlternateContent>
    <mc:AlternateContent xmlns:mc="http://schemas.openxmlformats.org/markup-compatibility/2006">
      <mc:Choice Requires="x14">
        <control shapeId="31780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41" name="CheckBox35"/>
      </mc:Fallback>
    </mc:AlternateContent>
    <mc:AlternateContent xmlns:mc="http://schemas.openxmlformats.org/markup-compatibility/2006">
      <mc:Choice Requires="x14">
        <control shapeId="31781" r:id="rId42" name="CheckBox36">
          <controlPr defaultSize="0" autoLine="0" r:id="rId7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1781" r:id="rId42" name="CheckBox36"/>
      </mc:Fallback>
    </mc:AlternateContent>
    <mc:AlternateContent xmlns:mc="http://schemas.openxmlformats.org/markup-compatibility/2006">
      <mc:Choice Requires="x14">
        <control shapeId="31782" r:id="rId43" name="CheckBox37">
          <controlPr defaultSize="0" autoLine="0" r:id="rId7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1782" r:id="rId43" name="CheckBox37"/>
      </mc:Fallback>
    </mc:AlternateContent>
    <mc:AlternateContent xmlns:mc="http://schemas.openxmlformats.org/markup-compatibility/2006">
      <mc:Choice Requires="x14">
        <control shapeId="31783" r:id="rId44" name="CheckBox38">
          <controlPr defaultSize="0" autoLine="0" r:id="rId7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1783" r:id="rId44" name="CheckBox38"/>
      </mc:Fallback>
    </mc:AlternateContent>
    <mc:AlternateContent xmlns:mc="http://schemas.openxmlformats.org/markup-compatibility/2006">
      <mc:Choice Requires="x14">
        <control shapeId="31784" r:id="rId45" name="CheckBox39">
          <controlPr defaultSize="0" autoLine="0" r:id="rId7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1784" r:id="rId45" name="CheckBox39"/>
      </mc:Fallback>
    </mc:AlternateContent>
    <mc:AlternateContent xmlns:mc="http://schemas.openxmlformats.org/markup-compatibility/2006">
      <mc:Choice Requires="x14">
        <control shapeId="31785" r:id="rId46" name="CheckBox40">
          <controlPr defaultSize="0" autoLine="0" r:id="rId7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1785" r:id="rId46" name="CheckBox40"/>
      </mc:Fallback>
    </mc:AlternateContent>
    <mc:AlternateContent xmlns:mc="http://schemas.openxmlformats.org/markup-compatibility/2006">
      <mc:Choice Requires="x14">
        <control shapeId="31786" r:id="rId47" name="CheckBox41">
          <controlPr defaultSize="0" autoLine="0" r:id="rId7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1786" r:id="rId47" name="CheckBox41"/>
      </mc:Fallback>
    </mc:AlternateContent>
    <mc:AlternateContent xmlns:mc="http://schemas.openxmlformats.org/markup-compatibility/2006">
      <mc:Choice Requires="x14">
        <control shapeId="31787" r:id="rId48" name="CheckBox42">
          <controlPr defaultSize="0" autoLine="0" r:id="rId7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1787" r:id="rId48" name="CheckBox4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DDFB1-5211-4733-8EB3-9330E18C2020}">
  <sheetPr codeName="Sheet3"/>
  <dimension ref="A1:Q37"/>
  <sheetViews>
    <sheetView showGridLines="0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7" t="s">
        <v>0</v>
      </c>
      <c r="B1" s="64"/>
      <c r="C1" s="64"/>
      <c r="D1" s="64"/>
      <c r="E1" s="64"/>
      <c r="F1" s="64"/>
      <c r="G1" s="65" t="s">
        <v>1</v>
      </c>
      <c r="H1" s="65"/>
      <c r="Q1" s="43" t="s">
        <v>34</v>
      </c>
    </row>
    <row r="2" spans="1:17" x14ac:dyDescent="0.25">
      <c r="A2" s="66" t="s">
        <v>2</v>
      </c>
      <c r="B2" s="66"/>
      <c r="C2" s="67">
        <v>44626</v>
      </c>
      <c r="D2" s="67"/>
      <c r="E2" s="13"/>
      <c r="F2" s="13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2"/>
      <c r="I3" s="26" t="s">
        <v>10</v>
      </c>
      <c r="J3" s="9" t="s">
        <v>11</v>
      </c>
      <c r="K3" s="45" t="s">
        <v>32</v>
      </c>
      <c r="L3" s="9" t="s">
        <v>12</v>
      </c>
      <c r="M3" s="9" t="s">
        <v>13</v>
      </c>
      <c r="N3" s="9" t="s">
        <v>14</v>
      </c>
    </row>
    <row r="4" spans="1:17" x14ac:dyDescent="0.25">
      <c r="A4" s="23" t="s">
        <v>15</v>
      </c>
      <c r="B4" s="34">
        <f>C2</f>
        <v>44626</v>
      </c>
      <c r="C4" s="55"/>
      <c r="D4" s="54"/>
      <c r="E4" s="11"/>
      <c r="F4" s="53"/>
      <c r="G4" s="54"/>
      <c r="H4" s="14"/>
      <c r="I4" s="29">
        <f>((TIME(HOUR(D4),MINUTE(D4),SECOND(D4))-(TIME(HOUR(C4),MINUTE(C4),SECOND(C4))))+(TIME(HOUR(G4),MINUTE(G4),SECOND(G4))-(TIME(HOUR(F4),MINUTE(F4),SECOND(F4)))))*24</f>
        <v>0</v>
      </c>
      <c r="J4" s="51"/>
      <c r="K4" s="59"/>
      <c r="L4" s="16"/>
      <c r="M4" s="15"/>
      <c r="N4" s="16"/>
    </row>
    <row r="5" spans="1:17" x14ac:dyDescent="0.25">
      <c r="A5" s="23" t="s">
        <v>16</v>
      </c>
      <c r="B5" s="34">
        <f>B4+1</f>
        <v>44627</v>
      </c>
      <c r="C5" s="55"/>
      <c r="D5" s="54"/>
      <c r="E5" s="11"/>
      <c r="F5" s="53"/>
      <c r="G5" s="54"/>
      <c r="H5" s="2"/>
      <c r="I5" s="29">
        <f>((TIME(HOUR(D5),MINUTE(D5),SECOND(D5))-(TIME(HOUR(C5),MINUTE(C5),SECOND(C5))))+(TIME(HOUR(G5),MINUTE(G5),SECOND(G5))-(TIME(HOUR(F5),MINUTE(F5),SECOND(F5)))))*24</f>
        <v>0</v>
      </c>
      <c r="J5" s="51"/>
      <c r="K5" s="59"/>
      <c r="L5" s="16"/>
      <c r="M5" s="15"/>
      <c r="N5" s="16"/>
      <c r="O5" s="40"/>
    </row>
    <row r="6" spans="1:17" x14ac:dyDescent="0.25">
      <c r="A6" s="23" t="s">
        <v>17</v>
      </c>
      <c r="B6" s="34">
        <f t="shared" ref="B6:B10" si="0">B5+1</f>
        <v>44628</v>
      </c>
      <c r="C6" s="55"/>
      <c r="D6" s="54"/>
      <c r="E6" s="11"/>
      <c r="F6" s="53"/>
      <c r="G6" s="54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1"/>
      <c r="K6" s="59"/>
      <c r="L6" s="16"/>
      <c r="M6" s="15"/>
      <c r="N6" s="16"/>
    </row>
    <row r="7" spans="1:17" x14ac:dyDescent="0.25">
      <c r="A7" s="23" t="s">
        <v>18</v>
      </c>
      <c r="B7" s="34">
        <f t="shared" si="0"/>
        <v>44629</v>
      </c>
      <c r="C7" s="55"/>
      <c r="D7" s="54"/>
      <c r="E7" s="11"/>
      <c r="F7" s="53"/>
      <c r="G7" s="54"/>
      <c r="H7" s="2"/>
      <c r="I7" s="29">
        <f t="shared" si="1"/>
        <v>0</v>
      </c>
      <c r="J7" s="51"/>
      <c r="K7" s="59"/>
      <c r="L7" s="16"/>
      <c r="M7" s="15"/>
      <c r="N7" s="16"/>
    </row>
    <row r="8" spans="1:17" x14ac:dyDescent="0.25">
      <c r="A8" s="23" t="s">
        <v>19</v>
      </c>
      <c r="B8" s="34">
        <f t="shared" si="0"/>
        <v>44630</v>
      </c>
      <c r="C8" s="55"/>
      <c r="D8" s="54"/>
      <c r="E8" s="11"/>
      <c r="F8" s="53"/>
      <c r="G8" s="54"/>
      <c r="H8" s="2"/>
      <c r="I8" s="29">
        <f>((TIME(HOUR(D8),MINUTE(D8),SECOND(D8))-(TIME(HOUR(C8),MINUTE(C8),SECOND(C8))))+(TIME(HOUR(G8),MINUTE(G8),SECOND(G8))-(TIME(HOUR(F8),MINUTE(F8),SECOND(F8)))))*24</f>
        <v>0</v>
      </c>
      <c r="J8" s="51"/>
      <c r="K8" s="59"/>
      <c r="L8" s="46"/>
      <c r="M8" s="15"/>
      <c r="N8" s="16"/>
    </row>
    <row r="9" spans="1:17" x14ac:dyDescent="0.25">
      <c r="A9" s="23" t="s">
        <v>20</v>
      </c>
      <c r="B9" s="34">
        <f t="shared" si="0"/>
        <v>44631</v>
      </c>
      <c r="C9" s="55"/>
      <c r="D9" s="54"/>
      <c r="E9" s="11"/>
      <c r="F9" s="53"/>
      <c r="G9" s="54"/>
      <c r="H9" s="2"/>
      <c r="I9" s="29">
        <f t="shared" si="1"/>
        <v>0</v>
      </c>
      <c r="J9" s="51"/>
      <c r="K9" s="59"/>
      <c r="L9" s="46"/>
      <c r="M9" s="15"/>
      <c r="N9" s="16"/>
    </row>
    <row r="10" spans="1:17" x14ac:dyDescent="0.25">
      <c r="A10" s="23" t="s">
        <v>21</v>
      </c>
      <c r="B10" s="34">
        <f t="shared" si="0"/>
        <v>44632</v>
      </c>
      <c r="C10" s="55"/>
      <c r="D10" s="54"/>
      <c r="E10" s="11"/>
      <c r="F10" s="53"/>
      <c r="G10" s="54"/>
      <c r="H10" s="3"/>
      <c r="I10" s="29">
        <f t="shared" si="1"/>
        <v>0</v>
      </c>
      <c r="J10" s="51"/>
      <c r="K10" s="59"/>
      <c r="L10" s="46"/>
      <c r="M10" s="47"/>
      <c r="N10" s="16"/>
    </row>
    <row r="11" spans="1:17" x14ac:dyDescent="0.25">
      <c r="A11" s="1"/>
      <c r="B11" s="1"/>
      <c r="C11" s="1"/>
      <c r="D11" s="1"/>
      <c r="E11" s="1"/>
      <c r="F11" s="1"/>
      <c r="G11" s="68" t="s">
        <v>22</v>
      </c>
      <c r="H11" s="68"/>
      <c r="I11" s="48">
        <f>SUM(I4:I10)</f>
        <v>0</v>
      </c>
      <c r="J11" s="30">
        <f>SUM(J4:J10)</f>
        <v>0</v>
      </c>
      <c r="K11" s="58">
        <f>SUM(K4:K10)</f>
        <v>0</v>
      </c>
      <c r="L11" s="18"/>
      <c r="M11" s="27"/>
      <c r="N11" s="19"/>
    </row>
    <row r="12" spans="1:17" x14ac:dyDescent="0.25">
      <c r="A12" s="1"/>
      <c r="B12" s="1"/>
      <c r="C12" s="1"/>
      <c r="D12" s="1"/>
      <c r="E12" s="1"/>
      <c r="F12" s="1"/>
      <c r="G12" s="62" t="s">
        <v>23</v>
      </c>
      <c r="H12" s="62"/>
      <c r="I12" s="49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2" t="s">
        <v>24</v>
      </c>
      <c r="H13" s="62"/>
      <c r="I13" s="50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4" t="s">
        <v>15</v>
      </c>
      <c r="B15" s="33">
        <f>B10+1</f>
        <v>44633</v>
      </c>
      <c r="C15" s="55"/>
      <c r="D15" s="54"/>
      <c r="E15" s="12"/>
      <c r="F15" s="53"/>
      <c r="G15" s="54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1"/>
      <c r="K15" s="59"/>
      <c r="L15" s="16"/>
      <c r="M15" s="15"/>
      <c r="N15" s="16"/>
    </row>
    <row r="16" spans="1:17" x14ac:dyDescent="0.25">
      <c r="A16" s="24" t="s">
        <v>16</v>
      </c>
      <c r="B16" s="33">
        <f>B15+1</f>
        <v>44634</v>
      </c>
      <c r="C16" s="55"/>
      <c r="D16" s="54"/>
      <c r="E16" s="12"/>
      <c r="F16" s="53"/>
      <c r="G16" s="54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1"/>
      <c r="K16" s="59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5"/>
      <c r="D17" s="54"/>
      <c r="E17" s="12"/>
      <c r="F17" s="53"/>
      <c r="G17" s="54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1"/>
      <c r="K17" s="59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5"/>
      <c r="D18" s="54"/>
      <c r="E18" s="12"/>
      <c r="F18" s="53"/>
      <c r="G18" s="54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1"/>
      <c r="K18" s="59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5"/>
      <c r="D19" s="54"/>
      <c r="E19" s="12"/>
      <c r="F19" s="53"/>
      <c r="G19" s="54"/>
      <c r="H19" s="2"/>
      <c r="I19" s="29">
        <f t="shared" si="3"/>
        <v>0</v>
      </c>
      <c r="J19" s="51"/>
      <c r="K19" s="59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5"/>
      <c r="D20" s="54"/>
      <c r="E20" s="12"/>
      <c r="F20" s="53"/>
      <c r="G20" s="54"/>
      <c r="H20" s="2"/>
      <c r="I20" s="29">
        <f t="shared" si="3"/>
        <v>0</v>
      </c>
      <c r="J20" s="51"/>
      <c r="K20" s="59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5"/>
      <c r="D21" s="54"/>
      <c r="E21" s="12"/>
      <c r="F21" s="53"/>
      <c r="G21" s="54"/>
      <c r="H21" s="4"/>
      <c r="I21" s="29">
        <f t="shared" si="3"/>
        <v>0</v>
      </c>
      <c r="J21" s="51"/>
      <c r="K21" s="59"/>
      <c r="L21" s="16"/>
      <c r="M21" s="47"/>
      <c r="N21" s="16"/>
    </row>
    <row r="22" spans="1:17" x14ac:dyDescent="0.25">
      <c r="A22" s="1"/>
      <c r="B22" s="1"/>
      <c r="C22" s="1"/>
      <c r="D22" s="1"/>
      <c r="E22" s="1"/>
      <c r="F22" s="1"/>
      <c r="G22" s="68" t="s">
        <v>22</v>
      </c>
      <c r="H22" s="69"/>
      <c r="I22" s="30">
        <f>SUM(I15:I21)</f>
        <v>0</v>
      </c>
      <c r="J22" s="30">
        <f>SUM(J15:J21)</f>
        <v>0</v>
      </c>
      <c r="K22" s="58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2" t="s">
        <v>23</v>
      </c>
      <c r="H23" s="70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2" t="s">
        <v>24</v>
      </c>
      <c r="H24" s="62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2" t="s">
        <v>25</v>
      </c>
      <c r="H26" s="63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2" t="s">
        <v>26</v>
      </c>
      <c r="H27" s="63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0" t="s">
        <v>33</v>
      </c>
      <c r="H28" s="61"/>
      <c r="I28" s="57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2" t="s">
        <v>27</v>
      </c>
      <c r="H29" s="63"/>
      <c r="I29" s="56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2" t="s">
        <v>28</v>
      </c>
      <c r="H30" s="62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2" t="s">
        <v>29</v>
      </c>
      <c r="H31" s="62"/>
      <c r="I31" s="52"/>
      <c r="L31" s="1"/>
      <c r="M31" s="1"/>
    </row>
    <row r="32" spans="1:17" x14ac:dyDescent="0.25">
      <c r="A32" s="1"/>
      <c r="B32" s="1"/>
      <c r="C32" s="1"/>
      <c r="D32" s="1"/>
      <c r="E32" s="1"/>
      <c r="G32" s="62" t="s">
        <v>30</v>
      </c>
      <c r="H32" s="62"/>
      <c r="I32" s="52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73"/>
      <c r="H33" s="74"/>
      <c r="I33" s="39"/>
      <c r="J33" s="5"/>
      <c r="K33" s="5"/>
      <c r="L33" s="1"/>
      <c r="M33" s="1"/>
    </row>
    <row r="36" spans="1:13" x14ac:dyDescent="0.25">
      <c r="F36" s="75"/>
      <c r="G36" s="75"/>
      <c r="H36" s="75"/>
      <c r="I36" s="75"/>
      <c r="J36" s="76"/>
      <c r="K36" s="6"/>
    </row>
    <row r="37" spans="1:13" x14ac:dyDescent="0.25">
      <c r="F37" s="71" t="s">
        <v>31</v>
      </c>
      <c r="G37" s="71"/>
      <c r="H37" s="71"/>
      <c r="I37" s="71"/>
      <c r="J37" s="72"/>
      <c r="K37" s="44" t="s">
        <v>4</v>
      </c>
    </row>
  </sheetData>
  <sheetProtection sheet="1" objects="1" scenarios="1"/>
  <mergeCells count="20">
    <mergeCell ref="F36:J36"/>
    <mergeCell ref="F37:J37"/>
    <mergeCell ref="G28:H28"/>
    <mergeCell ref="G29:H29"/>
    <mergeCell ref="G30:H30"/>
    <mergeCell ref="G31:H31"/>
    <mergeCell ref="G32:H32"/>
    <mergeCell ref="G33:H33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5">
    <dataValidation type="decimal" allowBlank="1" showInputMessage="1" showErrorMessage="1" sqref="K4:K10 K15:K21" xr:uid="{DC540800-4EFE-4B30-AB43-8F2D31168E92}">
      <formula1>0</formula1>
      <formula2>24</formula2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59522788-5C93-4EAB-9896-372529C8B260}">
      <formula1>0</formula1>
      <formula2>0.999305555555556</formula2>
    </dataValidation>
    <dataValidation type="custom" allowBlank="1" showInputMessage="1" showErrorMessage="1" errorTitle="Error" error="Date must be a Sunday" sqref="C2:D2" xr:uid="{6FE0D16F-EA54-4C76-8E86-6D30BD2525FC}">
      <formula1>WEEKDAY(C2)=1</formula1>
    </dataValidation>
    <dataValidation type="decimal" allowBlank="1" showInputMessage="1" showErrorMessage="1" errorTitle="Error" error="Enter hours using the format: _x000a_00.00_x000a__x000a_Example: 2.50" sqref="J4:J10 J15:J21" xr:uid="{0082006E-355A-44EC-8CC2-3335A6679F5F}">
      <formula1>0</formula1>
      <formula2>24</formula2>
    </dataValidation>
    <dataValidation type="decimal" allowBlank="1" showInputMessage="1" showErrorMessage="1" sqref="I30:I32" xr:uid="{32DFA8E7-2CBF-4294-A050-8ED36B3C4D62}">
      <formula1>0</formula1>
      <formula2>999.99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3835" r:id="rId4" name="CheckBox42">
          <controlPr defaultSize="0" autoLine="0" r:id="rId5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3835" r:id="rId4" name="CheckBox42"/>
      </mc:Fallback>
    </mc:AlternateContent>
    <mc:AlternateContent xmlns:mc="http://schemas.openxmlformats.org/markup-compatibility/2006">
      <mc:Choice Requires="x14">
        <control shapeId="33834" r:id="rId6" name="CheckBox41">
          <controlPr defaultSize="0" autoLine="0" r:id="rId5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3834" r:id="rId6" name="CheckBox41"/>
      </mc:Fallback>
    </mc:AlternateContent>
    <mc:AlternateContent xmlns:mc="http://schemas.openxmlformats.org/markup-compatibility/2006">
      <mc:Choice Requires="x14">
        <control shapeId="33833" r:id="rId7" name="CheckBox40">
          <controlPr defaultSize="0" autoLine="0" r:id="rId5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3833" r:id="rId7" name="CheckBox40"/>
      </mc:Fallback>
    </mc:AlternateContent>
    <mc:AlternateContent xmlns:mc="http://schemas.openxmlformats.org/markup-compatibility/2006">
      <mc:Choice Requires="x14">
        <control shapeId="33832" r:id="rId8" name="CheckBox39">
          <controlPr defaultSize="0" autoLine="0" r:id="rId5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3832" r:id="rId8" name="CheckBox39"/>
      </mc:Fallback>
    </mc:AlternateContent>
    <mc:AlternateContent xmlns:mc="http://schemas.openxmlformats.org/markup-compatibility/2006">
      <mc:Choice Requires="x14">
        <control shapeId="33831" r:id="rId9" name="CheckBox38">
          <controlPr defaultSize="0" autoLine="0" r:id="rId5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3831" r:id="rId9" name="CheckBox38"/>
      </mc:Fallback>
    </mc:AlternateContent>
    <mc:AlternateContent xmlns:mc="http://schemas.openxmlformats.org/markup-compatibility/2006">
      <mc:Choice Requires="x14">
        <control shapeId="33830" r:id="rId10" name="CheckBox37">
          <controlPr defaultSize="0" autoLine="0" r:id="rId5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3830" r:id="rId10" name="CheckBox37"/>
      </mc:Fallback>
    </mc:AlternateContent>
    <mc:AlternateContent xmlns:mc="http://schemas.openxmlformats.org/markup-compatibility/2006">
      <mc:Choice Requires="x14">
        <control shapeId="33829" r:id="rId11" name="CheckBox36">
          <controlPr defaultSize="0" autoLine="0" r:id="rId5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3829" r:id="rId11" name="CheckBox36"/>
      </mc:Fallback>
    </mc:AlternateContent>
    <mc:AlternateContent xmlns:mc="http://schemas.openxmlformats.org/markup-compatibility/2006">
      <mc:Choice Requires="x14">
        <control shapeId="33828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3828" r:id="rId12" name="CheckBox35"/>
      </mc:Fallback>
    </mc:AlternateContent>
    <mc:AlternateContent xmlns:mc="http://schemas.openxmlformats.org/markup-compatibility/2006">
      <mc:Choice Requires="x14">
        <control shapeId="33827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3827" r:id="rId13" name="CheckBox34"/>
      </mc:Fallback>
    </mc:AlternateContent>
    <mc:AlternateContent xmlns:mc="http://schemas.openxmlformats.org/markup-compatibility/2006">
      <mc:Choice Requires="x14">
        <control shapeId="33826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26" r:id="rId14" name="CheckBox33"/>
      </mc:Fallback>
    </mc:AlternateContent>
    <mc:AlternateContent xmlns:mc="http://schemas.openxmlformats.org/markup-compatibility/2006">
      <mc:Choice Requires="x14">
        <control shapeId="33825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25" r:id="rId15" name="CheckBox32"/>
      </mc:Fallback>
    </mc:AlternateContent>
    <mc:AlternateContent xmlns:mc="http://schemas.openxmlformats.org/markup-compatibility/2006">
      <mc:Choice Requires="x14">
        <control shapeId="33824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24" r:id="rId16" name="CheckBox31"/>
      </mc:Fallback>
    </mc:AlternateContent>
    <mc:AlternateContent xmlns:mc="http://schemas.openxmlformats.org/markup-compatibility/2006">
      <mc:Choice Requires="x14">
        <control shapeId="33823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23" r:id="rId17" name="CheckBox30"/>
      </mc:Fallback>
    </mc:AlternateContent>
    <mc:AlternateContent xmlns:mc="http://schemas.openxmlformats.org/markup-compatibility/2006">
      <mc:Choice Requires="x14">
        <control shapeId="33822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22" r:id="rId18" name="CheckBox29"/>
      </mc:Fallback>
    </mc:AlternateContent>
    <mc:AlternateContent xmlns:mc="http://schemas.openxmlformats.org/markup-compatibility/2006">
      <mc:Choice Requires="x14">
        <control shapeId="33821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3821" r:id="rId19" name="CheckBox28"/>
      </mc:Fallback>
    </mc:AlternateContent>
    <mc:AlternateContent xmlns:mc="http://schemas.openxmlformats.org/markup-compatibility/2006">
      <mc:Choice Requires="x14">
        <control shapeId="33820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3820" r:id="rId20" name="CheckBox27"/>
      </mc:Fallback>
    </mc:AlternateContent>
    <mc:AlternateContent xmlns:mc="http://schemas.openxmlformats.org/markup-compatibility/2006">
      <mc:Choice Requires="x14">
        <control shapeId="33819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19" r:id="rId21" name="CheckBox26"/>
      </mc:Fallback>
    </mc:AlternateContent>
    <mc:AlternateContent xmlns:mc="http://schemas.openxmlformats.org/markup-compatibility/2006">
      <mc:Choice Requires="x14">
        <control shapeId="33818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18" r:id="rId22" name="CheckBox25"/>
      </mc:Fallback>
    </mc:AlternateContent>
    <mc:AlternateContent xmlns:mc="http://schemas.openxmlformats.org/markup-compatibility/2006">
      <mc:Choice Requires="x14">
        <control shapeId="33817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17" r:id="rId23" name="CheckBox24"/>
      </mc:Fallback>
    </mc:AlternateContent>
    <mc:AlternateContent xmlns:mc="http://schemas.openxmlformats.org/markup-compatibility/2006">
      <mc:Choice Requires="x14">
        <control shapeId="33816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16" r:id="rId24" name="CheckBox23"/>
      </mc:Fallback>
    </mc:AlternateContent>
    <mc:AlternateContent xmlns:mc="http://schemas.openxmlformats.org/markup-compatibility/2006">
      <mc:Choice Requires="x14">
        <control shapeId="33815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15" r:id="rId25" name="CheckBox22"/>
      </mc:Fallback>
    </mc:AlternateContent>
    <mc:AlternateContent xmlns:mc="http://schemas.openxmlformats.org/markup-compatibility/2006">
      <mc:Choice Requires="x14">
        <control shapeId="33814" r:id="rId26" name="CheckBox21">
          <controlPr defaultSize="0" autoLine="0" r:id="rId5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3814" r:id="rId26" name="CheckBox21"/>
      </mc:Fallback>
    </mc:AlternateContent>
    <mc:AlternateContent xmlns:mc="http://schemas.openxmlformats.org/markup-compatibility/2006">
      <mc:Choice Requires="x14">
        <control shapeId="33813" r:id="rId27" name="CheckBox20">
          <controlPr defaultSize="0" autoLine="0" r:id="rId5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3813" r:id="rId27" name="CheckBox20"/>
      </mc:Fallback>
    </mc:AlternateContent>
    <mc:AlternateContent xmlns:mc="http://schemas.openxmlformats.org/markup-compatibility/2006">
      <mc:Choice Requires="x14">
        <control shapeId="33812" r:id="rId28" name="CheckBox19">
          <controlPr defaultSize="0" autoLine="0" r:id="rId5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3812" r:id="rId28" name="CheckBox19"/>
      </mc:Fallback>
    </mc:AlternateContent>
    <mc:AlternateContent xmlns:mc="http://schemas.openxmlformats.org/markup-compatibility/2006">
      <mc:Choice Requires="x14">
        <control shapeId="33811" r:id="rId29" name="CheckBox18">
          <controlPr defaultSize="0" autoLine="0" r:id="rId5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3811" r:id="rId29" name="CheckBox18"/>
      </mc:Fallback>
    </mc:AlternateContent>
    <mc:AlternateContent xmlns:mc="http://schemas.openxmlformats.org/markup-compatibility/2006">
      <mc:Choice Requires="x14">
        <control shapeId="33810" r:id="rId30" name="CheckBox17">
          <controlPr defaultSize="0" autoLine="0" r:id="rId5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3810" r:id="rId30" name="CheckBox17"/>
      </mc:Fallback>
    </mc:AlternateContent>
    <mc:AlternateContent xmlns:mc="http://schemas.openxmlformats.org/markup-compatibility/2006">
      <mc:Choice Requires="x14">
        <control shapeId="33809" r:id="rId31" name="CheckBox16">
          <controlPr defaultSize="0" autoLine="0" r:id="rId5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3809" r:id="rId31" name="CheckBox16"/>
      </mc:Fallback>
    </mc:AlternateContent>
    <mc:AlternateContent xmlns:mc="http://schemas.openxmlformats.org/markup-compatibility/2006">
      <mc:Choice Requires="x14">
        <control shapeId="33808" r:id="rId32" name="CheckBox15">
          <controlPr defaultSize="0" autoLine="0" r:id="rId5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3808" r:id="rId32" name="CheckBox15"/>
      </mc:Fallback>
    </mc:AlternateContent>
    <mc:AlternateContent xmlns:mc="http://schemas.openxmlformats.org/markup-compatibility/2006">
      <mc:Choice Requires="x14">
        <control shapeId="33807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3807" r:id="rId33" name="CheckBox14"/>
      </mc:Fallback>
    </mc:AlternateContent>
    <mc:AlternateContent xmlns:mc="http://schemas.openxmlformats.org/markup-compatibility/2006">
      <mc:Choice Requires="x14">
        <control shapeId="33806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3806" r:id="rId34" name="CheckBox13"/>
      </mc:Fallback>
    </mc:AlternateContent>
    <mc:AlternateContent xmlns:mc="http://schemas.openxmlformats.org/markup-compatibility/2006">
      <mc:Choice Requires="x14">
        <control shapeId="33805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3805" r:id="rId35" name="CheckBox12"/>
      </mc:Fallback>
    </mc:AlternateContent>
    <mc:AlternateContent xmlns:mc="http://schemas.openxmlformats.org/markup-compatibility/2006">
      <mc:Choice Requires="x14">
        <control shapeId="33804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3804" r:id="rId36" name="CheckBox11"/>
      </mc:Fallback>
    </mc:AlternateContent>
    <mc:AlternateContent xmlns:mc="http://schemas.openxmlformats.org/markup-compatibility/2006">
      <mc:Choice Requires="x14">
        <control shapeId="33803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3803" r:id="rId37" name="CheckBox10"/>
      </mc:Fallback>
    </mc:AlternateContent>
    <mc:AlternateContent xmlns:mc="http://schemas.openxmlformats.org/markup-compatibility/2006">
      <mc:Choice Requires="x14">
        <control shapeId="33802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3802" r:id="rId38" name="CheckBox9"/>
      </mc:Fallback>
    </mc:AlternateContent>
    <mc:AlternateContent xmlns:mc="http://schemas.openxmlformats.org/markup-compatibility/2006">
      <mc:Choice Requires="x14">
        <control shapeId="33801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3801" r:id="rId39" name="CheckBox8"/>
      </mc:Fallback>
    </mc:AlternateContent>
    <mc:AlternateContent xmlns:mc="http://schemas.openxmlformats.org/markup-compatibility/2006">
      <mc:Choice Requires="x14">
        <control shapeId="33800" r:id="rId40" name="CheckBox7">
          <controlPr defaultSize="0" autoLine="0" r:id="rId5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3800" r:id="rId40" name="CheckBox7"/>
      </mc:Fallback>
    </mc:AlternateContent>
    <mc:AlternateContent xmlns:mc="http://schemas.openxmlformats.org/markup-compatibility/2006">
      <mc:Choice Requires="x14">
        <control shapeId="33799" r:id="rId41" name="CheckBox6">
          <controlPr defaultSize="0" autoLine="0" r:id="rId5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3799" r:id="rId41" name="CheckBox6"/>
      </mc:Fallback>
    </mc:AlternateContent>
    <mc:AlternateContent xmlns:mc="http://schemas.openxmlformats.org/markup-compatibility/2006">
      <mc:Choice Requires="x14">
        <control shapeId="33798" r:id="rId42" name="CheckBox5">
          <controlPr defaultSize="0" autoLine="0" r:id="rId5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3798" r:id="rId42" name="CheckBox5"/>
      </mc:Fallback>
    </mc:AlternateContent>
    <mc:AlternateContent xmlns:mc="http://schemas.openxmlformats.org/markup-compatibility/2006">
      <mc:Choice Requires="x14">
        <control shapeId="33797" r:id="rId43" name="CheckBox4">
          <controlPr defaultSize="0" autoLine="0" r:id="rId5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3797" r:id="rId43" name="CheckBox4"/>
      </mc:Fallback>
    </mc:AlternateContent>
    <mc:AlternateContent xmlns:mc="http://schemas.openxmlformats.org/markup-compatibility/2006">
      <mc:Choice Requires="x14">
        <control shapeId="33796" r:id="rId44" name="CheckBox3">
          <controlPr defaultSize="0" autoLine="0" r:id="rId5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3796" r:id="rId44" name="CheckBox3"/>
      </mc:Fallback>
    </mc:AlternateContent>
    <mc:AlternateContent xmlns:mc="http://schemas.openxmlformats.org/markup-compatibility/2006">
      <mc:Choice Requires="x14">
        <control shapeId="33795" r:id="rId45" name="CheckBox2">
          <controlPr defaultSize="0" autoLine="0" r:id="rId5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3795" r:id="rId45" name="CheckBox2"/>
      </mc:Fallback>
    </mc:AlternateContent>
    <mc:AlternateContent xmlns:mc="http://schemas.openxmlformats.org/markup-compatibility/2006">
      <mc:Choice Requires="x14">
        <control shapeId="33794" r:id="rId46" name="CheckBox1">
          <controlPr defaultSize="0" autoLine="0" r:id="rId5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3794" r:id="rId46" name="CheckBox1"/>
      </mc:Fallback>
    </mc:AlternateContent>
    <mc:AlternateContent xmlns:mc="http://schemas.openxmlformats.org/markup-compatibility/2006">
      <mc:Choice Requires="x14">
        <control shapeId="33793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3793" r:id="rId47" name="CopyNCle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Timesheet</vt:lpstr>
      <vt:lpstr>timesheet_bk</vt:lpstr>
      <vt:lpstr>timesheet_bk!checkBoxes</vt:lpstr>
      <vt:lpstr>checkBoxes</vt:lpstr>
      <vt:lpstr>Timesheet!DataEntry</vt:lpstr>
      <vt:lpstr>timesheet_bk!DataEntry</vt:lpstr>
      <vt:lpstr>Timesheet!Print_Area</vt:lpstr>
      <vt:lpstr>timesheet_bk!Print_Area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2022-03-16T22:59:38Z</cp:lastPrinted>
  <dcterms:created xsi:type="dcterms:W3CDTF">2020-12-21T17:41:55Z</dcterms:created>
  <dcterms:modified xsi:type="dcterms:W3CDTF">2022-03-16T23:13:27Z</dcterms:modified>
  <cp:category/>
  <cp:contentStatus/>
</cp:coreProperties>
</file>